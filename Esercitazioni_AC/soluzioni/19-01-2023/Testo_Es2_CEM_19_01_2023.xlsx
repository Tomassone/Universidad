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eonardo\archiCalc\esami\soluzioni\19-01-2023\"/>
    </mc:Choice>
  </mc:AlternateContent>
  <xr:revisionPtr revIDLastSave="0" documentId="13_ncr:1_{8301EF31-8FE8-4E4E-83BB-723D407E4165}" xr6:coauthVersionLast="47" xr6:coauthVersionMax="47" xr10:uidLastSave="{00000000-0000-0000-0000-000000000000}"/>
  <bookViews>
    <workbookView xWindow="-110" yWindow="-110" windowWidth="19420" windowHeight="10300" activeTab="4" xr2:uid="{1F066B97-7CF9-4FFC-8B77-46248F717E7A}"/>
  </bookViews>
  <sheets>
    <sheet name="Cache" sheetId="15" state="hidden" r:id="rId1"/>
    <sheet name="a.i.ii.iii" sheetId="21" r:id="rId2"/>
    <sheet name="b.i" sheetId="23" r:id="rId3"/>
    <sheet name="b.i bis" sheetId="25" r:id="rId4"/>
    <sheet name="b.ii.iii" sheetId="22" r:id="rId5"/>
  </sheets>
  <definedNames>
    <definedName name="_xlnm.Print_Area" localSheetId="1">'a.i.ii.iii'!$A$1:$M$36</definedName>
    <definedName name="_xlnm.Print_Area" localSheetId="2">b.i!$B$1:$R$39</definedName>
    <definedName name="_xlnm.Print_Area" localSheetId="3">'b.i bis'!$B$2:$R$38</definedName>
    <definedName name="_xlnm.Print_Area" localSheetId="4">'b.ii.iii'!$B$2:$M$28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2" l="1"/>
  <c r="I13" i="22"/>
  <c r="I12" i="22"/>
  <c r="D12" i="22"/>
  <c r="I16" i="22"/>
  <c r="D16" i="22"/>
  <c r="G8" i="15"/>
  <c r="D11" i="22" l="1"/>
  <c r="D14" i="22" s="1"/>
  <c r="I11" i="22"/>
  <c r="I15" i="22" s="1"/>
  <c r="D15" i="22" l="1"/>
  <c r="I14" i="22"/>
</calcChain>
</file>

<file path=xl/sharedStrings.xml><?xml version="1.0" encoding="utf-8"?>
<sst xmlns="http://schemas.openxmlformats.org/spreadsheetml/2006/main" count="583" uniqueCount="155">
  <si>
    <t>Testo:</t>
  </si>
  <si>
    <t>La cpu dispone di una cache dati a 2 vie da 2KiB complessivi e linee da 32 byte, gestita con stato MESI e con politica di scrittura Write-Around in caso di miss.</t>
  </si>
  <si>
    <t>Capacità:</t>
  </si>
  <si>
    <t>2^14</t>
  </si>
  <si>
    <t>2KiB</t>
  </si>
  <si>
    <t>16KiB</t>
  </si>
  <si>
    <t>Dimensione Blocco:</t>
  </si>
  <si>
    <t>2^5</t>
  </si>
  <si>
    <t>32B</t>
  </si>
  <si>
    <t>2^6</t>
  </si>
  <si>
    <t>64B</t>
  </si>
  <si>
    <t>Numero di blocchi nella cache:</t>
  </si>
  <si>
    <t>2^11/2^5</t>
  </si>
  <si>
    <t>64 Blocchi</t>
  </si>
  <si>
    <t>2^8</t>
  </si>
  <si>
    <t>256 Blocchi</t>
  </si>
  <si>
    <t xml:space="preserve">Numero di set </t>
  </si>
  <si>
    <t>2^6/2</t>
  </si>
  <si>
    <t>32 Sets</t>
  </si>
  <si>
    <t>2^7</t>
  </si>
  <si>
    <t>Sets</t>
  </si>
  <si>
    <t>Numero di bit index</t>
  </si>
  <si>
    <t>log2(32)</t>
  </si>
  <si>
    <t>5bits</t>
  </si>
  <si>
    <t>bits</t>
  </si>
  <si>
    <t>Numero di bit di tag</t>
  </si>
  <si>
    <t>#bit di indirizzamento - #bit di indice - #bit di offset in blocco</t>
  </si>
  <si>
    <t>32 - 5 - 5</t>
  </si>
  <si>
    <t>22bits</t>
  </si>
  <si>
    <t>32-7-6</t>
  </si>
  <si>
    <t>Scomposizione indirizzo:</t>
  </si>
  <si>
    <t>BA[31..16]</t>
  </si>
  <si>
    <t>BA[15..12]</t>
  </si>
  <si>
    <t>BA[11..8]</t>
  </si>
  <si>
    <t>BA[7..0]</t>
  </si>
  <si>
    <t>TAG</t>
  </si>
  <si>
    <t>Index</t>
  </si>
  <si>
    <t>BBB</t>
  </si>
  <si>
    <t>Offset /Bytes in Blocks</t>
  </si>
  <si>
    <t>0x0100 8000</t>
  </si>
  <si>
    <t>0100</t>
  </si>
  <si>
    <t>0x8</t>
  </si>
  <si>
    <t>0</t>
  </si>
  <si>
    <t>0x00</t>
  </si>
  <si>
    <t>00804</t>
  </si>
  <si>
    <t>00</t>
  </si>
  <si>
    <t>BA[31..10]</t>
  </si>
  <si>
    <t>BA[9..5]</t>
  </si>
  <si>
    <t>BA[4..0]</t>
  </si>
  <si>
    <t>000 0 000 1 000 0 000 0</t>
  </si>
  <si>
    <r>
      <t>100</t>
    </r>
    <r>
      <rPr>
        <sz val="11"/>
        <color theme="1"/>
        <rFont val="Calibri"/>
        <family val="2"/>
        <scheme val="minor"/>
      </rPr>
      <t>0</t>
    </r>
  </si>
  <si>
    <t>00 00</t>
  </si>
  <si>
    <r>
      <t>00</t>
    </r>
    <r>
      <rPr>
        <sz val="11"/>
        <color rgb="FFFF0000"/>
        <rFont val="Calibri"/>
        <family val="2"/>
        <scheme val="minor"/>
      </rPr>
      <t>00 0000</t>
    </r>
  </si>
  <si>
    <t>000 0000</t>
  </si>
  <si>
    <t>00 0000</t>
  </si>
  <si>
    <t>0x0100 80FF</t>
  </si>
  <si>
    <t>0xFF</t>
  </si>
  <si>
    <t>03</t>
  </si>
  <si>
    <t>3F</t>
  </si>
  <si>
    <t>0x0100 9FFF</t>
  </si>
  <si>
    <t>0x9</t>
  </si>
  <si>
    <t>F</t>
  </si>
  <si>
    <t>7F</t>
  </si>
  <si>
    <r>
      <t xml:space="preserve">100 </t>
    </r>
    <r>
      <rPr>
        <sz val="11"/>
        <color theme="5"/>
        <rFont val="Calibri"/>
        <family val="2"/>
        <scheme val="minor"/>
      </rPr>
      <t>1</t>
    </r>
  </si>
  <si>
    <r>
      <rPr>
        <sz val="11"/>
        <color theme="5"/>
        <rFont val="Calibri"/>
        <family val="2"/>
        <scheme val="minor"/>
      </rPr>
      <t>11 11</t>
    </r>
  </si>
  <si>
    <r>
      <rPr>
        <sz val="11"/>
        <color theme="5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11 1111</t>
    </r>
  </si>
  <si>
    <t>11 1111</t>
  </si>
  <si>
    <t>0x0100 A000</t>
  </si>
  <si>
    <r>
      <t>101</t>
    </r>
    <r>
      <rPr>
        <sz val="11"/>
        <color theme="1"/>
        <rFont val="Calibri"/>
        <family val="2"/>
        <scheme val="minor"/>
      </rPr>
      <t>0</t>
    </r>
  </si>
  <si>
    <t>00805</t>
  </si>
  <si>
    <t>Studente</t>
  </si>
  <si>
    <t>Nome</t>
  </si>
  <si>
    <t>Cognome</t>
  </si>
  <si>
    <t>Matricola</t>
  </si>
  <si>
    <t>a.i) Si completi la mappa della memoria con i due vettori A e B. (2 punti)</t>
  </si>
  <si>
    <t>Dato</t>
  </si>
  <si>
    <t>Indirizzo</t>
  </si>
  <si>
    <t>LSB</t>
  </si>
  <si>
    <t>MSB</t>
  </si>
  <si>
    <t>A[0]</t>
  </si>
  <si>
    <t>A[767]</t>
  </si>
  <si>
    <t>B[0]</t>
  </si>
  <si>
    <t>B[767]</t>
  </si>
  <si>
    <t>a.ii) Specificare il numero e il valore dei bit di TAG e Set ID del primo ed ultimo elemento di ognuno dei vettori A e B. 
(2 punti)</t>
  </si>
  <si>
    <t>Proprieta</t>
  </si>
  <si>
    <t>Vettore</t>
  </si>
  <si>
    <t>A</t>
  </si>
  <si>
    <t>B</t>
  </si>
  <si>
    <t># Bit TAG</t>
  </si>
  <si>
    <t># Bit SetID</t>
  </si>
  <si>
    <t>TAG [0]</t>
  </si>
  <si>
    <t>SetID [0]</t>
  </si>
  <si>
    <t>Tag [767]</t>
  </si>
  <si>
    <t>SetID [767]</t>
  </si>
  <si>
    <t>a.iii) Quanta memoria occupano complessivamente i vettori A e B? È possibile che tutti e due i vettori si trovino contemporaneamente ed interamente in cache nello stesso momento? (1 punto)</t>
  </si>
  <si>
    <t># Bytes</t>
  </si>
  <si>
    <t>CORE 0</t>
  </si>
  <si>
    <t>EXEC</t>
  </si>
  <si>
    <t>CORE 1</t>
  </si>
  <si>
    <t>Istruzione: flw fa5,0(x11)</t>
  </si>
  <si>
    <t>Task = T0
i = 0</t>
  </si>
  <si>
    <t>Istruzione: -</t>
  </si>
  <si>
    <t>Via 0</t>
  </si>
  <si>
    <t>LRU</t>
  </si>
  <si>
    <t>Via 1</t>
  </si>
  <si>
    <t>Set ID</t>
  </si>
  <si>
    <t>Data</t>
  </si>
  <si>
    <t>MESI</t>
  </si>
  <si>
    <t>Istruzione: flw fa4,0(x10)</t>
  </si>
  <si>
    <t>Istruzione: fsw fa5,-8(x11)</t>
  </si>
  <si>
    <t>Task = T1
i = 1</t>
  </si>
  <si>
    <t>b.ii) Calcolare il numero di accessi, HIT, MISS, HIT rate, MISS rate e cicli di WB al termine dell’esecuzione dei due tasks. 
(5 punti)</t>
  </si>
  <si>
    <t>Task</t>
  </si>
  <si>
    <t>T0</t>
  </si>
  <si>
    <t>T1</t>
  </si>
  <si>
    <t># Accessi</t>
  </si>
  <si>
    <t># HIT</t>
  </si>
  <si>
    <t># MISS</t>
  </si>
  <si>
    <t># HIT rate [%]</t>
  </si>
  <si>
    <t># MISS rate [%]</t>
  </si>
  <si>
    <t># WB</t>
  </si>
  <si>
    <t>x</t>
  </si>
  <si>
    <t>b.i -part 1) Si mostri il contenuto della cache, lo stato MESI e il valore del bit LRU al termine della sequenza di esecuzione T0 (i=0), T1 (i=1), T0(i=2), T1 (i=3). (7 punti)</t>
  </si>
  <si>
    <t>Task = T0
i = 2</t>
  </si>
  <si>
    <t>Task = T1
i = 3</t>
  </si>
  <si>
    <t>b.i - part 2)  Si mostri il contenuto della cache, lo stato MESI e il valore del bit LRU al termine della sequenza di esecuzione T0 (i=0), T1 (i=1), T0(i=2), T1 (i=3). (7 punti)</t>
  </si>
  <si>
    <t>0x8000 1000</t>
  </si>
  <si>
    <t>0x8000 3000</t>
  </si>
  <si>
    <t>0x8000 1BFF</t>
  </si>
  <si>
    <t>0x8000 3BFF</t>
  </si>
  <si>
    <t>0x8000 1003</t>
  </si>
  <si>
    <t>0x8000 3003</t>
  </si>
  <si>
    <t>0x8000 1BFC</t>
  </si>
  <si>
    <t>0x8000 3BFC</t>
  </si>
  <si>
    <t>0X10 0002</t>
  </si>
  <si>
    <t>0X10 0006</t>
  </si>
  <si>
    <t>0X00</t>
  </si>
  <si>
    <t>0X10 0003</t>
  </si>
  <si>
    <t>0X10 0007</t>
  </si>
  <si>
    <t>0X3F</t>
  </si>
  <si>
    <t>NO, LA CAPACITà è DI 4 KIB E LORO INSIEME NE FANNO 6</t>
  </si>
  <si>
    <t>0x10 0006</t>
  </si>
  <si>
    <t>B[0..3]</t>
  </si>
  <si>
    <t>E</t>
  </si>
  <si>
    <t>0x10 0002</t>
  </si>
  <si>
    <t>A[0..3]</t>
  </si>
  <si>
    <t>M</t>
  </si>
  <si>
    <t>S</t>
  </si>
  <si>
    <t>1WB</t>
  </si>
  <si>
    <t>I</t>
  </si>
  <si>
    <t>1 MISS</t>
  </si>
  <si>
    <t>1 HIT</t>
  </si>
  <si>
    <t>1 WB</t>
  </si>
  <si>
    <t>1HIT</t>
  </si>
  <si>
    <t>Motivare i valori ottenuti: analizzando il comportamento delle prime 4 iterazioni, che completano l'esecuzione sul blocco contenente i valori agli indici tra 0 e 3, emerge che per il task T0 vi sono 3 hit e 3 miss, come per il task T1. Considerato che l'esecuzione avviene su 768 elementi, è possibile proiettare questo comportamento sulle esecuzioni su tutti i restanti blocchi di 4 elementi. Emenrgono così 768/4 * 3 = 576 hit e 768/4 * 3 = 576 miss. Per quanto riguarda il writeback, al task T0, che non lascia, al termine dell'esecuzione, nessun elemento in stato Modified, avvengono 768/4 * 2 = 384 WB totali, mentre al task T1 il ragionamento è leggermente più complesso. Il lower bound è sicuramente dato dalla singola WB (data dal cambio di stato da M a S che causa un flush) che avviene ogni 4 iterazioni (192), ma ciò non è sufficiente, poiché al termine dell'iterazione 3, e quindi di tutte le ultime iterazioni sul blocco, rimane il blocco contenente gli elementi di B in stato MODIFIED. Questi, se sovrascritto, dovrà necessariamente fare WB, e ciò avviene quando, raggiunto il setID 0x7F, l'accesso ai vettori ricomincerà dall'indice 0x00 con un tag diverso, cioè da quando i&gt;=512 (visto che la capacità di ognuna delle due vie è 2 KiB e gli array contengono float a 4 Byte, risultando in Size(A[0..512])=2KiB), di fatti quindi ci saranno 0x40 = 64 iterazioni con 2 WB invece che 1, risultando in un totale di 192+64 = 256.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</si>
</sst>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133">
    <xf numFmtId="0" fontId="0" fillId="0" borderId="0" xfId="0"/>
    <xf numFmtId="0" fontId="0" fillId="4" borderId="0" xfId="0" applyFill="1"/>
    <xf numFmtId="0" fontId="0" fillId="2" borderId="5" xfId="0" applyFill="1" applyBorder="1" applyAlignment="1">
      <alignment wrapText="1"/>
    </xf>
    <xf numFmtId="0" fontId="1" fillId="2" borderId="0" xfId="0" applyFont="1" applyFill="1"/>
    <xf numFmtId="0" fontId="2" fillId="2" borderId="6" xfId="0" applyFont="1" applyFill="1" applyBorder="1"/>
    <xf numFmtId="0" fontId="0" fillId="2" borderId="7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2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wrapText="1"/>
    </xf>
    <xf numFmtId="0" fontId="0" fillId="3" borderId="0" xfId="0" applyFill="1"/>
    <xf numFmtId="0" fontId="0" fillId="3" borderId="7" xfId="0" applyFill="1" applyBorder="1" applyAlignment="1">
      <alignment wrapText="1"/>
    </xf>
    <xf numFmtId="0" fontId="0" fillId="3" borderId="2" xfId="0" applyFill="1" applyBorder="1"/>
    <xf numFmtId="0" fontId="0" fillId="3" borderId="17" xfId="0" applyFill="1" applyBorder="1"/>
    <xf numFmtId="0" fontId="0" fillId="2" borderId="14" xfId="0" applyFill="1" applyBorder="1" applyAlignment="1">
      <alignment wrapText="1"/>
    </xf>
    <xf numFmtId="0" fontId="1" fillId="2" borderId="11" xfId="0" applyFont="1" applyFill="1" applyBorder="1"/>
    <xf numFmtId="0" fontId="2" fillId="2" borderId="18" xfId="0" applyFont="1" applyFill="1" applyBorder="1"/>
    <xf numFmtId="0" fontId="0" fillId="2" borderId="12" xfId="0" applyFill="1" applyBorder="1"/>
    <xf numFmtId="0" fontId="1" fillId="2" borderId="10" xfId="0" applyFont="1" applyFill="1" applyBorder="1"/>
    <xf numFmtId="0" fontId="2" fillId="2" borderId="13" xfId="0" applyFont="1" applyFill="1" applyBorder="1"/>
    <xf numFmtId="0" fontId="0" fillId="2" borderId="15" xfId="0" applyFill="1" applyBorder="1" applyAlignment="1">
      <alignment wrapText="1"/>
    </xf>
    <xf numFmtId="0" fontId="1" fillId="2" borderId="9" xfId="0" applyFont="1" applyFill="1" applyBorder="1"/>
    <xf numFmtId="0" fontId="2" fillId="2" borderId="16" xfId="0" applyFont="1" applyFill="1" applyBorder="1"/>
    <xf numFmtId="0" fontId="0" fillId="0" borderId="0" xfId="0" quotePrefix="1"/>
    <xf numFmtId="0" fontId="6" fillId="0" borderId="0" xfId="0" quotePrefix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0" xfId="0" applyFill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2" fillId="0" borderId="35" xfId="0" applyFont="1" applyBorder="1" applyAlignment="1">
      <alignment horizontal="right" vertical="center"/>
    </xf>
    <xf numFmtId="0" fontId="2" fillId="0" borderId="32" xfId="0" applyFont="1" applyBorder="1" applyAlignment="1">
      <alignment horizontal="right" vertical="center"/>
    </xf>
    <xf numFmtId="0" fontId="2" fillId="0" borderId="25" xfId="0" applyFont="1" applyBorder="1" applyAlignment="1">
      <alignment horizontal="right" vertical="center"/>
    </xf>
    <xf numFmtId="0" fontId="2" fillId="0" borderId="27" xfId="0" applyFont="1" applyBorder="1" applyAlignment="1">
      <alignment horizontal="right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43" xfId="0" applyFont="1" applyBorder="1" applyAlignment="1">
      <alignment horizontal="right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40" xfId="0" applyFont="1" applyBorder="1" applyAlignment="1">
      <alignment horizontal="right" vertical="center"/>
    </xf>
    <xf numFmtId="0" fontId="2" fillId="0" borderId="41" xfId="0" applyFont="1" applyBorder="1" applyAlignment="1">
      <alignment horizontal="right" vertical="center"/>
    </xf>
    <xf numFmtId="0" fontId="0" fillId="0" borderId="24" xfId="0" applyBorder="1" applyAlignment="1">
      <alignment horizontal="center" vertical="center"/>
    </xf>
    <xf numFmtId="0" fontId="2" fillId="0" borderId="2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9" fontId="0" fillId="0" borderId="31" xfId="0" applyNumberFormat="1" applyBorder="1" applyAlignment="1">
      <alignment horizontal="center" vertical="center"/>
    </xf>
    <xf numFmtId="0" fontId="2" fillId="0" borderId="38" xfId="0" applyFont="1" applyBorder="1" applyAlignment="1">
      <alignment horizontal="right" vertical="center"/>
    </xf>
    <xf numFmtId="0" fontId="2" fillId="0" borderId="37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EAE5-2607-4E8B-9181-809AAA706127}">
  <dimension ref="A1:P15"/>
  <sheetViews>
    <sheetView topLeftCell="A4" workbookViewId="0">
      <selection activeCell="H5" sqref="H5"/>
    </sheetView>
  </sheetViews>
  <sheetFormatPr defaultColWidth="9" defaultRowHeight="14.5" x14ac:dyDescent="0.35"/>
  <cols>
    <col min="2" max="2" width="11.36328125" customWidth="1"/>
    <col min="3" max="3" width="15" customWidth="1"/>
    <col min="4" max="4" width="9.6328125" customWidth="1"/>
    <col min="5" max="5" width="10.1796875" customWidth="1"/>
    <col min="8" max="8" width="11" bestFit="1" customWidth="1"/>
    <col min="9" max="9" width="20.1796875" bestFit="1" customWidth="1"/>
  </cols>
  <sheetData>
    <row r="1" spans="1:16" ht="39.75" customHeight="1" x14ac:dyDescent="0.35">
      <c r="A1" s="1" t="s">
        <v>0</v>
      </c>
      <c r="B1" s="45" t="s">
        <v>1</v>
      </c>
      <c r="C1" s="45"/>
      <c r="D1" s="45"/>
      <c r="E1" s="45"/>
      <c r="F1" s="45"/>
      <c r="G1" s="45"/>
      <c r="H1" s="45"/>
      <c r="I1" s="45"/>
    </row>
    <row r="2" spans="1:16" ht="15" thickBot="1" x14ac:dyDescent="0.4"/>
    <row r="3" spans="1:16" x14ac:dyDescent="0.35">
      <c r="B3" s="17" t="s">
        <v>2</v>
      </c>
      <c r="C3" s="18" t="s">
        <v>3</v>
      </c>
      <c r="D3" s="18"/>
      <c r="E3" s="19" t="s">
        <v>4</v>
      </c>
      <c r="F3" t="s">
        <v>3</v>
      </c>
      <c r="G3" t="s">
        <v>5</v>
      </c>
    </row>
    <row r="4" spans="1:16" ht="29" x14ac:dyDescent="0.35">
      <c r="B4" s="20" t="s">
        <v>6</v>
      </c>
      <c r="C4" s="21" t="s">
        <v>7</v>
      </c>
      <c r="D4" s="21"/>
      <c r="E4" s="22" t="s">
        <v>8</v>
      </c>
      <c r="F4" t="s">
        <v>9</v>
      </c>
      <c r="G4" t="s">
        <v>10</v>
      </c>
    </row>
    <row r="5" spans="1:16" ht="43.5" x14ac:dyDescent="0.35">
      <c r="B5" s="14" t="s">
        <v>11</v>
      </c>
      <c r="C5" s="15" t="s">
        <v>12</v>
      </c>
      <c r="D5" s="15" t="s">
        <v>9</v>
      </c>
      <c r="E5" s="16" t="s">
        <v>13</v>
      </c>
      <c r="F5" t="s">
        <v>14</v>
      </c>
      <c r="G5" t="s">
        <v>15</v>
      </c>
    </row>
    <row r="6" spans="1:16" ht="29" x14ac:dyDescent="0.35">
      <c r="B6" s="2" t="s">
        <v>16</v>
      </c>
      <c r="C6" s="3" t="s">
        <v>17</v>
      </c>
      <c r="D6" s="3" t="s">
        <v>7</v>
      </c>
      <c r="E6" s="4" t="s">
        <v>18</v>
      </c>
      <c r="F6" t="s">
        <v>19</v>
      </c>
      <c r="G6" t="s">
        <v>20</v>
      </c>
    </row>
    <row r="7" spans="1:16" ht="29" x14ac:dyDescent="0.35">
      <c r="B7" s="2" t="s">
        <v>21</v>
      </c>
      <c r="C7" s="3" t="s">
        <v>22</v>
      </c>
      <c r="D7" s="3"/>
      <c r="E7" s="4" t="s">
        <v>23</v>
      </c>
      <c r="F7">
        <v>7</v>
      </c>
      <c r="G7" t="s">
        <v>24</v>
      </c>
    </row>
    <row r="8" spans="1:16" ht="73" thickBot="1" x14ac:dyDescent="0.4">
      <c r="B8" s="5" t="s">
        <v>25</v>
      </c>
      <c r="C8" s="6" t="s">
        <v>26</v>
      </c>
      <c r="D8" s="7" t="s">
        <v>27</v>
      </c>
      <c r="E8" s="8" t="s">
        <v>28</v>
      </c>
      <c r="F8" t="s">
        <v>29</v>
      </c>
      <c r="G8">
        <f>32-7-6</f>
        <v>19</v>
      </c>
    </row>
    <row r="9" spans="1:16" x14ac:dyDescent="0.35">
      <c r="B9" s="46" t="s">
        <v>30</v>
      </c>
      <c r="C9" s="47"/>
      <c r="D9" s="47"/>
      <c r="E9" s="48"/>
      <c r="I9" t="s">
        <v>31</v>
      </c>
      <c r="J9" t="s">
        <v>32</v>
      </c>
      <c r="K9" t="s">
        <v>33</v>
      </c>
      <c r="L9" t="s">
        <v>34</v>
      </c>
      <c r="N9" t="s">
        <v>35</v>
      </c>
      <c r="O9" t="s">
        <v>36</v>
      </c>
      <c r="P9" t="s">
        <v>37</v>
      </c>
    </row>
    <row r="10" spans="1:16" ht="15" thickBot="1" x14ac:dyDescent="0.4">
      <c r="B10" s="9" t="s">
        <v>35</v>
      </c>
      <c r="C10" s="10" t="s">
        <v>36</v>
      </c>
      <c r="D10" s="49" t="s">
        <v>38</v>
      </c>
      <c r="E10" s="50"/>
      <c r="H10" s="13" t="s">
        <v>39</v>
      </c>
      <c r="I10" s="23" t="s">
        <v>40</v>
      </c>
      <c r="J10" s="23" t="s">
        <v>41</v>
      </c>
      <c r="K10" s="23" t="s">
        <v>42</v>
      </c>
      <c r="L10" s="23" t="s">
        <v>43</v>
      </c>
      <c r="M10" s="23"/>
      <c r="N10" s="23" t="s">
        <v>44</v>
      </c>
      <c r="O10" s="23" t="s">
        <v>45</v>
      </c>
      <c r="P10" s="23" t="s">
        <v>45</v>
      </c>
    </row>
    <row r="11" spans="1:16" ht="15" thickBot="1" x14ac:dyDescent="0.4">
      <c r="B11" s="11" t="s">
        <v>46</v>
      </c>
      <c r="C11" s="12" t="s">
        <v>47</v>
      </c>
      <c r="D11" s="51" t="s">
        <v>48</v>
      </c>
      <c r="E11" s="52"/>
      <c r="H11" s="13"/>
      <c r="I11" s="24" t="s">
        <v>49</v>
      </c>
      <c r="J11" s="24" t="s">
        <v>50</v>
      </c>
      <c r="K11" s="23" t="s">
        <v>51</v>
      </c>
      <c r="L11" s="23" t="s">
        <v>52</v>
      </c>
      <c r="M11" s="23"/>
      <c r="N11" s="23" t="s">
        <v>44</v>
      </c>
      <c r="O11" s="23" t="s">
        <v>53</v>
      </c>
      <c r="P11" s="23" t="s">
        <v>54</v>
      </c>
    </row>
    <row r="12" spans="1:16" ht="15" thickBot="1" x14ac:dyDescent="0.4">
      <c r="H12" s="13" t="s">
        <v>55</v>
      </c>
      <c r="I12" s="23" t="s">
        <v>40</v>
      </c>
      <c r="J12" s="23" t="s">
        <v>41</v>
      </c>
      <c r="K12" s="23" t="s">
        <v>42</v>
      </c>
      <c r="L12" t="s">
        <v>56</v>
      </c>
      <c r="N12" s="23" t="s">
        <v>44</v>
      </c>
      <c r="O12" s="23" t="s">
        <v>57</v>
      </c>
      <c r="P12" s="23" t="s">
        <v>58</v>
      </c>
    </row>
    <row r="13" spans="1:16" ht="15" thickBot="1" x14ac:dyDescent="0.4">
      <c r="H13" s="13" t="s">
        <v>59</v>
      </c>
      <c r="I13" s="23" t="s">
        <v>40</v>
      </c>
      <c r="J13" s="23" t="s">
        <v>60</v>
      </c>
      <c r="K13" s="23" t="s">
        <v>61</v>
      </c>
      <c r="L13" t="s">
        <v>56</v>
      </c>
      <c r="N13" s="23" t="s">
        <v>44</v>
      </c>
      <c r="O13" t="s">
        <v>62</v>
      </c>
      <c r="P13" s="23" t="s">
        <v>58</v>
      </c>
    </row>
    <row r="14" spans="1:16" ht="15" thickBot="1" x14ac:dyDescent="0.4">
      <c r="H14" s="13" t="s">
        <v>59</v>
      </c>
      <c r="I14" s="23" t="s">
        <v>40</v>
      </c>
      <c r="J14" s="23" t="s">
        <v>63</v>
      </c>
      <c r="K14" s="23" t="s">
        <v>64</v>
      </c>
      <c r="L14" s="23" t="s">
        <v>65</v>
      </c>
      <c r="M14" s="23"/>
      <c r="P14" s="23" t="s">
        <v>66</v>
      </c>
    </row>
    <row r="15" spans="1:16" ht="15" thickBot="1" x14ac:dyDescent="0.4">
      <c r="H15" s="13" t="s">
        <v>67</v>
      </c>
      <c r="I15" s="24" t="s">
        <v>49</v>
      </c>
      <c r="J15" s="24" t="s">
        <v>68</v>
      </c>
      <c r="N15" s="23" t="s">
        <v>69</v>
      </c>
    </row>
  </sheetData>
  <mergeCells count="4">
    <mergeCell ref="B1:I1"/>
    <mergeCell ref="B9:E9"/>
    <mergeCell ref="D10:E10"/>
    <mergeCell ref="D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2057-737F-4DB1-A8AF-C0E08C2183AB}">
  <sheetPr>
    <pageSetUpPr fitToPage="1"/>
  </sheetPr>
  <dimension ref="A2:Q35"/>
  <sheetViews>
    <sheetView zoomScale="67" workbookViewId="0">
      <selection activeCell="N17" sqref="N17"/>
    </sheetView>
  </sheetViews>
  <sheetFormatPr defaultColWidth="8.81640625" defaultRowHeight="14.5" x14ac:dyDescent="0.35"/>
  <sheetData>
    <row r="2" spans="1:17" x14ac:dyDescent="0.35">
      <c r="A2" s="55" t="s">
        <v>70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17" x14ac:dyDescent="0.35">
      <c r="A3" s="63" t="s">
        <v>71</v>
      </c>
      <c r="B3" s="64"/>
      <c r="C3" s="53"/>
      <c r="D3" s="53"/>
      <c r="E3" s="53"/>
      <c r="F3" s="53"/>
      <c r="G3" s="53"/>
      <c r="H3" s="53"/>
      <c r="I3" s="53"/>
      <c r="J3" s="53"/>
      <c r="K3" s="53"/>
      <c r="L3" s="54"/>
    </row>
    <row r="4" spans="1:17" x14ac:dyDescent="0.35">
      <c r="A4" s="65" t="s">
        <v>72</v>
      </c>
      <c r="B4" s="66"/>
      <c r="C4" s="83"/>
      <c r="D4" s="83"/>
      <c r="E4" s="83"/>
      <c r="F4" s="83"/>
      <c r="G4" s="83"/>
      <c r="H4" s="83"/>
      <c r="I4" s="83"/>
      <c r="J4" s="83"/>
      <c r="K4" s="83"/>
      <c r="L4" s="84"/>
    </row>
    <row r="5" spans="1:17" x14ac:dyDescent="0.35">
      <c r="A5" s="67" t="s">
        <v>73</v>
      </c>
      <c r="B5" s="68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7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7" x14ac:dyDescent="0.35">
      <c r="A7" s="77" t="s">
        <v>74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1"/>
    </row>
    <row r="8" spans="1:17" x14ac:dyDescent="0.3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x14ac:dyDescent="0.35">
      <c r="A9" s="62" t="s">
        <v>75</v>
      </c>
      <c r="B9" s="61"/>
      <c r="C9" s="58" t="s">
        <v>76</v>
      </c>
      <c r="D9" s="58"/>
      <c r="E9" s="58"/>
      <c r="F9" s="58"/>
      <c r="G9" s="58"/>
      <c r="H9" s="58"/>
      <c r="I9" s="58"/>
      <c r="J9" s="58"/>
      <c r="K9" s="58"/>
      <c r="L9" s="59"/>
      <c r="Q9" t="s">
        <v>121</v>
      </c>
    </row>
    <row r="10" spans="1:17" x14ac:dyDescent="0.35">
      <c r="A10" s="62"/>
      <c r="B10" s="61"/>
      <c r="C10" s="58" t="s">
        <v>77</v>
      </c>
      <c r="D10" s="58"/>
      <c r="E10" s="58"/>
      <c r="F10" s="58"/>
      <c r="G10" s="59"/>
      <c r="H10" s="60" t="s">
        <v>78</v>
      </c>
      <c r="I10" s="60"/>
      <c r="J10" s="60"/>
      <c r="K10" s="60"/>
      <c r="L10" s="61"/>
    </row>
    <row r="11" spans="1:17" x14ac:dyDescent="0.35">
      <c r="A11" s="63" t="s">
        <v>79</v>
      </c>
      <c r="B11" s="64"/>
      <c r="C11" s="85" t="s">
        <v>126</v>
      </c>
      <c r="D11" s="85"/>
      <c r="E11" s="85"/>
      <c r="F11" s="85"/>
      <c r="G11" s="85"/>
      <c r="H11" s="85" t="s">
        <v>130</v>
      </c>
      <c r="I11" s="85"/>
      <c r="J11" s="85"/>
      <c r="K11" s="85"/>
      <c r="L11" s="85"/>
    </row>
    <row r="12" spans="1:17" x14ac:dyDescent="0.35">
      <c r="A12" s="65" t="s">
        <v>80</v>
      </c>
      <c r="B12" s="66"/>
      <c r="C12" s="88" t="s">
        <v>132</v>
      </c>
      <c r="D12" s="89"/>
      <c r="E12" s="89"/>
      <c r="F12" s="89"/>
      <c r="G12" s="90"/>
      <c r="H12" s="88" t="s">
        <v>128</v>
      </c>
      <c r="I12" s="89"/>
      <c r="J12" s="89"/>
      <c r="K12" s="89"/>
      <c r="L12" s="90"/>
    </row>
    <row r="13" spans="1:17" x14ac:dyDescent="0.35">
      <c r="A13" s="86" t="s">
        <v>81</v>
      </c>
      <c r="B13" s="87"/>
      <c r="C13" s="83" t="s">
        <v>127</v>
      </c>
      <c r="D13" s="83"/>
      <c r="E13" s="83"/>
      <c r="F13" s="83"/>
      <c r="G13" s="83"/>
      <c r="H13" s="83" t="s">
        <v>131</v>
      </c>
      <c r="I13" s="83"/>
      <c r="J13" s="83"/>
      <c r="K13" s="83"/>
      <c r="L13" s="83"/>
    </row>
    <row r="14" spans="1:17" x14ac:dyDescent="0.35">
      <c r="A14" s="75" t="s">
        <v>82</v>
      </c>
      <c r="B14" s="76"/>
      <c r="C14" s="91" t="s">
        <v>133</v>
      </c>
      <c r="D14" s="81"/>
      <c r="E14" s="81"/>
      <c r="F14" s="81"/>
      <c r="G14" s="82"/>
      <c r="H14" s="91" t="s">
        <v>129</v>
      </c>
      <c r="I14" s="81"/>
      <c r="J14" s="81"/>
      <c r="K14" s="81"/>
      <c r="L14" s="82"/>
    </row>
    <row r="15" spans="1:17" x14ac:dyDescent="0.3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7" x14ac:dyDescent="0.35">
      <c r="A16" s="69" t="s">
        <v>83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x14ac:dyDescent="0.3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x14ac:dyDescent="0.35">
      <c r="A18" s="96" t="s">
        <v>84</v>
      </c>
      <c r="B18" s="95"/>
      <c r="C18" s="92" t="s">
        <v>85</v>
      </c>
      <c r="D18" s="92"/>
      <c r="E18" s="92"/>
      <c r="F18" s="92"/>
      <c r="G18" s="92"/>
      <c r="H18" s="93"/>
      <c r="I18" s="93"/>
      <c r="J18" s="93"/>
      <c r="K18" s="93"/>
      <c r="L18" s="94"/>
    </row>
    <row r="19" spans="1:12" x14ac:dyDescent="0.35">
      <c r="A19" s="97"/>
      <c r="B19" s="59"/>
      <c r="C19" s="92" t="s">
        <v>86</v>
      </c>
      <c r="D19" s="92"/>
      <c r="E19" s="92"/>
      <c r="F19" s="92"/>
      <c r="G19" s="95"/>
      <c r="H19" s="60" t="s">
        <v>87</v>
      </c>
      <c r="I19" s="60"/>
      <c r="J19" s="60"/>
      <c r="K19" s="60"/>
      <c r="L19" s="61"/>
    </row>
    <row r="20" spans="1:12" x14ac:dyDescent="0.35">
      <c r="A20" s="86" t="s">
        <v>88</v>
      </c>
      <c r="B20" s="87"/>
      <c r="C20" s="98">
        <v>21</v>
      </c>
      <c r="D20" s="98"/>
      <c r="E20" s="98"/>
      <c r="F20" s="98"/>
      <c r="G20" s="99"/>
      <c r="H20" s="98">
        <v>21</v>
      </c>
      <c r="I20" s="98"/>
      <c r="J20" s="98"/>
      <c r="K20" s="98"/>
      <c r="L20" s="99"/>
    </row>
    <row r="21" spans="1:12" x14ac:dyDescent="0.35">
      <c r="A21" s="65" t="s">
        <v>89</v>
      </c>
      <c r="B21" s="66"/>
      <c r="C21" s="85">
        <v>7</v>
      </c>
      <c r="D21" s="85"/>
      <c r="E21" s="85"/>
      <c r="F21" s="85"/>
      <c r="G21" s="102"/>
      <c r="H21" s="85">
        <v>7</v>
      </c>
      <c r="I21" s="85"/>
      <c r="J21" s="85"/>
      <c r="K21" s="85"/>
      <c r="L21" s="102"/>
    </row>
    <row r="22" spans="1:12" x14ac:dyDescent="0.35">
      <c r="A22" s="86" t="s">
        <v>90</v>
      </c>
      <c r="B22" s="87"/>
      <c r="C22" s="83" t="s">
        <v>134</v>
      </c>
      <c r="D22" s="83"/>
      <c r="E22" s="83"/>
      <c r="F22" s="83"/>
      <c r="G22" s="84"/>
      <c r="H22" s="83" t="s">
        <v>135</v>
      </c>
      <c r="I22" s="83"/>
      <c r="J22" s="83"/>
      <c r="K22" s="83"/>
      <c r="L22" s="84"/>
    </row>
    <row r="23" spans="1:12" x14ac:dyDescent="0.35">
      <c r="A23" s="65" t="s">
        <v>91</v>
      </c>
      <c r="B23" s="66"/>
      <c r="C23" s="85" t="s">
        <v>136</v>
      </c>
      <c r="D23" s="85"/>
      <c r="E23" s="85"/>
      <c r="F23" s="85"/>
      <c r="G23" s="102"/>
      <c r="H23" s="85" t="s">
        <v>136</v>
      </c>
      <c r="I23" s="85"/>
      <c r="J23" s="85"/>
      <c r="K23" s="85"/>
      <c r="L23" s="102"/>
    </row>
    <row r="24" spans="1:12" x14ac:dyDescent="0.35">
      <c r="A24" s="100" t="s">
        <v>92</v>
      </c>
      <c r="B24" s="101"/>
      <c r="C24" s="83" t="s">
        <v>137</v>
      </c>
      <c r="D24" s="83"/>
      <c r="E24" s="83"/>
      <c r="F24" s="83"/>
      <c r="G24" s="84"/>
      <c r="H24" s="83" t="s">
        <v>138</v>
      </c>
      <c r="I24" s="83"/>
      <c r="J24" s="83"/>
      <c r="K24" s="83"/>
      <c r="L24" s="84"/>
    </row>
    <row r="25" spans="1:12" x14ac:dyDescent="0.35">
      <c r="A25" s="67" t="s">
        <v>93</v>
      </c>
      <c r="B25" s="68"/>
      <c r="C25" s="81" t="s">
        <v>139</v>
      </c>
      <c r="D25" s="81"/>
      <c r="E25" s="81"/>
      <c r="F25" s="81"/>
      <c r="G25" s="82"/>
      <c r="H25" s="81" t="s">
        <v>139</v>
      </c>
      <c r="I25" s="81"/>
      <c r="J25" s="81"/>
      <c r="K25" s="81"/>
      <c r="L25" s="82"/>
    </row>
    <row r="26" spans="1:12" x14ac:dyDescent="0.3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x14ac:dyDescent="0.35">
      <c r="A27" s="69" t="s">
        <v>94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x14ac:dyDescent="0.35">
      <c r="A28" s="78"/>
      <c r="B28" s="79"/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x14ac:dyDescent="0.35">
      <c r="A29" s="62" t="s">
        <v>84</v>
      </c>
      <c r="B29" s="60"/>
      <c r="C29" s="110" t="s">
        <v>85</v>
      </c>
      <c r="D29" s="93"/>
      <c r="E29" s="93"/>
      <c r="F29" s="93"/>
      <c r="G29" s="93"/>
      <c r="H29" s="92"/>
      <c r="I29" s="92"/>
      <c r="J29" s="92"/>
      <c r="K29" s="92"/>
      <c r="L29" s="95"/>
    </row>
    <row r="30" spans="1:12" x14ac:dyDescent="0.35">
      <c r="A30" s="97"/>
      <c r="B30" s="59"/>
      <c r="C30" s="58" t="s">
        <v>86</v>
      </c>
      <c r="D30" s="58"/>
      <c r="E30" s="58"/>
      <c r="F30" s="58"/>
      <c r="G30" s="58"/>
      <c r="H30" s="96" t="s">
        <v>87</v>
      </c>
      <c r="I30" s="92"/>
      <c r="J30" s="92"/>
      <c r="K30" s="92"/>
      <c r="L30" s="95"/>
    </row>
    <row r="31" spans="1:12" x14ac:dyDescent="0.35">
      <c r="A31" s="67" t="s">
        <v>95</v>
      </c>
      <c r="B31" s="68"/>
      <c r="C31" s="85">
        <v>3072</v>
      </c>
      <c r="D31" s="85"/>
      <c r="E31" s="85"/>
      <c r="F31" s="85"/>
      <c r="G31" s="85"/>
      <c r="H31" s="85">
        <v>3072</v>
      </c>
      <c r="I31" s="85"/>
      <c r="J31" s="85"/>
      <c r="K31" s="85"/>
      <c r="L31" s="85"/>
    </row>
    <row r="32" spans="1:12" x14ac:dyDescent="0.35">
      <c r="A32" s="103" t="s">
        <v>140</v>
      </c>
      <c r="B32" s="104"/>
      <c r="C32" s="105"/>
      <c r="D32" s="105"/>
      <c r="E32" s="105"/>
      <c r="F32" s="105"/>
      <c r="G32" s="105"/>
      <c r="H32" s="104"/>
      <c r="I32" s="104"/>
      <c r="J32" s="104"/>
      <c r="K32" s="104"/>
      <c r="L32" s="106"/>
    </row>
    <row r="33" spans="1:12" x14ac:dyDescent="0.35">
      <c r="A33" s="103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6"/>
    </row>
    <row r="34" spans="1:12" x14ac:dyDescent="0.35">
      <c r="A34" s="103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6"/>
    </row>
    <row r="35" spans="1:12" x14ac:dyDescent="0.35">
      <c r="A35" s="107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9"/>
    </row>
  </sheetData>
  <mergeCells count="56">
    <mergeCell ref="A32:L35"/>
    <mergeCell ref="A27:L28"/>
    <mergeCell ref="A29:B30"/>
    <mergeCell ref="C29:L29"/>
    <mergeCell ref="C30:G30"/>
    <mergeCell ref="H30:L30"/>
    <mergeCell ref="A31:B31"/>
    <mergeCell ref="C31:G31"/>
    <mergeCell ref="H31:L31"/>
    <mergeCell ref="A24:B24"/>
    <mergeCell ref="A25:B25"/>
    <mergeCell ref="C20:G20"/>
    <mergeCell ref="A21:B21"/>
    <mergeCell ref="H24:L24"/>
    <mergeCell ref="H25:L25"/>
    <mergeCell ref="C22:G22"/>
    <mergeCell ref="C23:G23"/>
    <mergeCell ref="C24:G24"/>
    <mergeCell ref="C25:G25"/>
    <mergeCell ref="C21:G21"/>
    <mergeCell ref="H21:L21"/>
    <mergeCell ref="H22:L22"/>
    <mergeCell ref="H23:L23"/>
    <mergeCell ref="A22:B22"/>
    <mergeCell ref="A23:B23"/>
    <mergeCell ref="C18:L18"/>
    <mergeCell ref="C19:G19"/>
    <mergeCell ref="H19:L19"/>
    <mergeCell ref="A18:B19"/>
    <mergeCell ref="A20:B20"/>
    <mergeCell ref="H20:L20"/>
    <mergeCell ref="A16:L17"/>
    <mergeCell ref="A14:B14"/>
    <mergeCell ref="A7:L8"/>
    <mergeCell ref="C5:L5"/>
    <mergeCell ref="C4:L4"/>
    <mergeCell ref="C11:G11"/>
    <mergeCell ref="A11:B11"/>
    <mergeCell ref="A12:B12"/>
    <mergeCell ref="A13:B13"/>
    <mergeCell ref="C12:G12"/>
    <mergeCell ref="C13:G13"/>
    <mergeCell ref="C14:G14"/>
    <mergeCell ref="H11:L11"/>
    <mergeCell ref="H12:L12"/>
    <mergeCell ref="H13:L13"/>
    <mergeCell ref="H14:L14"/>
    <mergeCell ref="C3:L3"/>
    <mergeCell ref="A2:L2"/>
    <mergeCell ref="C9:L9"/>
    <mergeCell ref="C10:G10"/>
    <mergeCell ref="H10:L10"/>
    <mergeCell ref="A9:B10"/>
    <mergeCell ref="A3:B3"/>
    <mergeCell ref="A4:B4"/>
    <mergeCell ref="A5:B5"/>
  </mergeCells>
  <pageMargins left="0.7" right="0.7" top="0.75" bottom="0.75" header="0.3" footer="0.3"/>
  <pageSetup paperSize="9" scale="9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136F-0DCB-460F-B2C2-CF668CD63625}">
  <sheetPr>
    <pageSetUpPr fitToPage="1"/>
  </sheetPr>
  <dimension ref="A2:S54"/>
  <sheetViews>
    <sheetView topLeftCell="F27" workbookViewId="0">
      <selection activeCell="G38" sqref="G38:I38"/>
    </sheetView>
  </sheetViews>
  <sheetFormatPr defaultColWidth="8.81640625" defaultRowHeight="14.5" x14ac:dyDescent="0.35"/>
  <sheetData>
    <row r="2" spans="1:18" x14ac:dyDescent="0.35">
      <c r="B2" s="55" t="s">
        <v>70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1:18" x14ac:dyDescent="0.35">
      <c r="B3" s="63" t="s">
        <v>71</v>
      </c>
      <c r="C3" s="64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1:18" x14ac:dyDescent="0.35">
      <c r="B4" s="65" t="s">
        <v>72</v>
      </c>
      <c r="C4" s="66"/>
      <c r="D4" s="83"/>
      <c r="E4" s="83"/>
      <c r="F4" s="83"/>
      <c r="G4" s="83"/>
      <c r="H4" s="83"/>
      <c r="I4" s="83"/>
      <c r="J4" s="83"/>
      <c r="K4" s="83"/>
      <c r="L4" s="83"/>
      <c r="M4" s="84"/>
    </row>
    <row r="5" spans="1:18" x14ac:dyDescent="0.35">
      <c r="B5" s="67" t="s">
        <v>73</v>
      </c>
      <c r="C5" s="68"/>
      <c r="D5" s="81"/>
      <c r="E5" s="81"/>
      <c r="F5" s="81"/>
      <c r="G5" s="81"/>
      <c r="H5" s="81"/>
      <c r="I5" s="81"/>
      <c r="J5" s="81"/>
      <c r="K5" s="81"/>
      <c r="L5" s="81"/>
      <c r="M5" s="82"/>
    </row>
    <row r="7" spans="1:18" x14ac:dyDescent="0.35">
      <c r="B7" s="77" t="s">
        <v>122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</row>
    <row r="8" spans="1:18" ht="15" thickBot="1" x14ac:dyDescent="0.4">
      <c r="B8" s="72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/>
    </row>
    <row r="9" spans="1:18" ht="15" thickBot="1" x14ac:dyDescent="0.4">
      <c r="B9" s="96" t="s">
        <v>96</v>
      </c>
      <c r="C9" s="92"/>
      <c r="D9" s="92"/>
      <c r="E9" s="92"/>
      <c r="F9" s="92"/>
      <c r="G9" s="92"/>
      <c r="H9" s="92"/>
      <c r="I9" s="92"/>
      <c r="J9" s="37" t="s">
        <v>97</v>
      </c>
      <c r="K9" s="110" t="s">
        <v>98</v>
      </c>
      <c r="L9" s="93"/>
      <c r="M9" s="93"/>
      <c r="N9" s="93"/>
      <c r="O9" s="93"/>
      <c r="P9" s="93"/>
      <c r="Q9" s="93"/>
      <c r="R9" s="94"/>
    </row>
    <row r="10" spans="1:18" ht="15.5" thickBot="1" x14ac:dyDescent="0.4">
      <c r="B10" s="96"/>
      <c r="C10" s="112" t="s">
        <v>99</v>
      </c>
      <c r="D10" s="113"/>
      <c r="E10" s="113"/>
      <c r="F10" s="113"/>
      <c r="G10" s="113"/>
      <c r="H10" s="113"/>
      <c r="I10" s="114"/>
      <c r="J10" s="115" t="s">
        <v>100</v>
      </c>
      <c r="K10" s="95"/>
      <c r="L10" s="112" t="s">
        <v>101</v>
      </c>
      <c r="M10" s="113"/>
      <c r="N10" s="113"/>
      <c r="O10" s="113"/>
      <c r="P10" s="113"/>
      <c r="Q10" s="113"/>
      <c r="R10" s="114"/>
    </row>
    <row r="11" spans="1:18" ht="15" thickBot="1" x14ac:dyDescent="0.4">
      <c r="B11" s="111"/>
      <c r="C11" s="58" t="s">
        <v>102</v>
      </c>
      <c r="D11" s="58"/>
      <c r="E11" s="59"/>
      <c r="F11" s="60" t="s">
        <v>103</v>
      </c>
      <c r="G11" s="97" t="s">
        <v>104</v>
      </c>
      <c r="H11" s="58"/>
      <c r="I11" s="59"/>
      <c r="J11" s="116"/>
      <c r="K11" s="59"/>
      <c r="L11" s="93" t="s">
        <v>102</v>
      </c>
      <c r="M11" s="93"/>
      <c r="N11" s="94"/>
      <c r="O11" s="95" t="s">
        <v>103</v>
      </c>
      <c r="P11" s="110" t="s">
        <v>104</v>
      </c>
      <c r="Q11" s="93"/>
      <c r="R11" s="94"/>
    </row>
    <row r="12" spans="1:18" ht="15" customHeight="1" thickBot="1" x14ac:dyDescent="0.4">
      <c r="B12" s="39" t="s">
        <v>105</v>
      </c>
      <c r="C12" s="30" t="s">
        <v>35</v>
      </c>
      <c r="D12" s="30" t="s">
        <v>106</v>
      </c>
      <c r="E12" s="30" t="s">
        <v>107</v>
      </c>
      <c r="F12" s="111"/>
      <c r="G12" s="30" t="s">
        <v>35</v>
      </c>
      <c r="H12" s="30" t="s">
        <v>106</v>
      </c>
      <c r="I12" s="30" t="s">
        <v>107</v>
      </c>
      <c r="J12" s="116"/>
      <c r="K12" s="29" t="s">
        <v>105</v>
      </c>
      <c r="L12" s="30" t="s">
        <v>35</v>
      </c>
      <c r="M12" s="30" t="s">
        <v>106</v>
      </c>
      <c r="N12" s="30" t="s">
        <v>107</v>
      </c>
      <c r="O12" s="111"/>
      <c r="P12" s="30" t="s">
        <v>35</v>
      </c>
      <c r="Q12" s="30" t="s">
        <v>106</v>
      </c>
      <c r="R12" s="31" t="s">
        <v>107</v>
      </c>
    </row>
    <row r="13" spans="1:18" ht="15" customHeight="1" x14ac:dyDescent="0.35">
      <c r="A13" t="s">
        <v>150</v>
      </c>
      <c r="B13" s="40" t="s">
        <v>43</v>
      </c>
      <c r="C13" s="42" t="s">
        <v>141</v>
      </c>
      <c r="D13" s="42" t="s">
        <v>142</v>
      </c>
      <c r="E13" s="34" t="s">
        <v>143</v>
      </c>
      <c r="F13" s="35">
        <v>1</v>
      </c>
      <c r="G13" s="42"/>
      <c r="H13" s="42"/>
      <c r="I13" s="34"/>
      <c r="J13" s="116"/>
      <c r="K13" s="41"/>
      <c r="L13" s="42"/>
      <c r="M13" s="42"/>
      <c r="N13" s="34"/>
      <c r="O13" s="35"/>
      <c r="P13" s="42"/>
      <c r="Q13" s="42"/>
      <c r="R13" s="36"/>
    </row>
    <row r="14" spans="1:18" ht="15" customHeight="1" thickBot="1" x14ac:dyDescent="0.4">
      <c r="B14" s="38"/>
      <c r="C14" s="43"/>
      <c r="D14" s="43"/>
      <c r="E14" s="26"/>
      <c r="F14" s="33"/>
      <c r="G14" s="43"/>
      <c r="H14" s="43"/>
      <c r="I14" s="26"/>
      <c r="J14" s="116"/>
      <c r="K14" s="31"/>
      <c r="L14" s="44"/>
      <c r="M14" s="44"/>
      <c r="N14" s="27"/>
      <c r="O14" s="32"/>
      <c r="P14" s="44"/>
      <c r="Q14" s="44"/>
      <c r="R14" s="28"/>
    </row>
    <row r="15" spans="1:18" ht="15" customHeight="1" thickBot="1" x14ac:dyDescent="0.4">
      <c r="B15" s="96"/>
      <c r="C15" s="112" t="s">
        <v>108</v>
      </c>
      <c r="D15" s="113"/>
      <c r="E15" s="113"/>
      <c r="F15" s="113"/>
      <c r="G15" s="113"/>
      <c r="H15" s="113"/>
      <c r="I15" s="114"/>
      <c r="J15" s="116"/>
      <c r="K15" s="95"/>
      <c r="L15" s="112" t="s">
        <v>101</v>
      </c>
      <c r="M15" s="113"/>
      <c r="N15" s="113"/>
      <c r="O15" s="113"/>
      <c r="P15" s="113"/>
      <c r="Q15" s="113"/>
      <c r="R15" s="114"/>
    </row>
    <row r="16" spans="1:18" ht="15" customHeight="1" thickBot="1" x14ac:dyDescent="0.4">
      <c r="B16" s="111"/>
      <c r="C16" s="58" t="s">
        <v>102</v>
      </c>
      <c r="D16" s="58"/>
      <c r="E16" s="59"/>
      <c r="F16" s="60" t="s">
        <v>103</v>
      </c>
      <c r="G16" s="97" t="s">
        <v>104</v>
      </c>
      <c r="H16" s="58"/>
      <c r="I16" s="59"/>
      <c r="J16" s="116"/>
      <c r="K16" s="59"/>
      <c r="L16" s="93" t="s">
        <v>102</v>
      </c>
      <c r="M16" s="93"/>
      <c r="N16" s="94"/>
      <c r="O16" s="95" t="s">
        <v>103</v>
      </c>
      <c r="P16" s="110" t="s">
        <v>104</v>
      </c>
      <c r="Q16" s="93"/>
      <c r="R16" s="94"/>
    </row>
    <row r="17" spans="1:19" ht="15" thickBot="1" x14ac:dyDescent="0.4">
      <c r="B17" s="39" t="s">
        <v>105</v>
      </c>
      <c r="C17" s="30" t="s">
        <v>35</v>
      </c>
      <c r="D17" s="30" t="s">
        <v>106</v>
      </c>
      <c r="E17" s="30" t="s">
        <v>107</v>
      </c>
      <c r="F17" s="111"/>
      <c r="G17" s="30" t="s">
        <v>35</v>
      </c>
      <c r="H17" s="30" t="s">
        <v>106</v>
      </c>
      <c r="I17" s="30" t="s">
        <v>107</v>
      </c>
      <c r="J17" s="116"/>
      <c r="K17" s="29" t="s">
        <v>105</v>
      </c>
      <c r="L17" s="30" t="s">
        <v>35</v>
      </c>
      <c r="M17" s="30" t="s">
        <v>106</v>
      </c>
      <c r="N17" s="30" t="s">
        <v>107</v>
      </c>
      <c r="O17" s="111"/>
      <c r="P17" s="30" t="s">
        <v>35</v>
      </c>
      <c r="Q17" s="30" t="s">
        <v>106</v>
      </c>
      <c r="R17" s="31" t="s">
        <v>107</v>
      </c>
    </row>
    <row r="18" spans="1:19" ht="15" customHeight="1" x14ac:dyDescent="0.35">
      <c r="A18" t="s">
        <v>150</v>
      </c>
      <c r="B18" s="40" t="s">
        <v>43</v>
      </c>
      <c r="C18" s="42" t="s">
        <v>141</v>
      </c>
      <c r="D18" s="42" t="s">
        <v>142</v>
      </c>
      <c r="E18" s="34" t="s">
        <v>143</v>
      </c>
      <c r="F18" s="35">
        <v>0</v>
      </c>
      <c r="G18" s="42" t="s">
        <v>144</v>
      </c>
      <c r="H18" s="42" t="s">
        <v>145</v>
      </c>
      <c r="I18" s="34" t="s">
        <v>143</v>
      </c>
      <c r="J18" s="116"/>
      <c r="K18" s="41"/>
      <c r="L18" s="42"/>
      <c r="M18" s="42"/>
      <c r="N18" s="34"/>
      <c r="O18" s="35"/>
      <c r="P18" s="42"/>
      <c r="Q18" s="42"/>
      <c r="R18" s="36"/>
    </row>
    <row r="19" spans="1:19" ht="15" thickBot="1" x14ac:dyDescent="0.4">
      <c r="B19" s="38"/>
      <c r="C19" s="43"/>
      <c r="D19" s="43"/>
      <c r="E19" s="26"/>
      <c r="F19" s="33"/>
      <c r="G19" s="43"/>
      <c r="H19" s="43"/>
      <c r="I19" s="26"/>
      <c r="J19" s="116"/>
      <c r="K19" s="31"/>
      <c r="L19" s="44"/>
      <c r="M19" s="44"/>
      <c r="N19" s="27"/>
      <c r="O19" s="32"/>
      <c r="P19" s="44"/>
      <c r="Q19" s="44"/>
      <c r="R19" s="28"/>
    </row>
    <row r="20" spans="1:19" ht="15.5" thickBot="1" x14ac:dyDescent="0.4">
      <c r="B20" s="96"/>
      <c r="C20" s="112" t="s">
        <v>109</v>
      </c>
      <c r="D20" s="113"/>
      <c r="E20" s="113"/>
      <c r="F20" s="113"/>
      <c r="G20" s="113"/>
      <c r="H20" s="113"/>
      <c r="I20" s="114"/>
      <c r="J20" s="116"/>
      <c r="K20" s="95"/>
      <c r="L20" s="112" t="s">
        <v>101</v>
      </c>
      <c r="M20" s="113"/>
      <c r="N20" s="113"/>
      <c r="O20" s="113"/>
      <c r="P20" s="113"/>
      <c r="Q20" s="113"/>
      <c r="R20" s="114"/>
    </row>
    <row r="21" spans="1:19" ht="15" thickBot="1" x14ac:dyDescent="0.4">
      <c r="B21" s="111"/>
      <c r="C21" s="58" t="s">
        <v>102</v>
      </c>
      <c r="D21" s="58"/>
      <c r="E21" s="59"/>
      <c r="F21" s="60" t="s">
        <v>103</v>
      </c>
      <c r="G21" s="97" t="s">
        <v>104</v>
      </c>
      <c r="H21" s="58"/>
      <c r="I21" s="59"/>
      <c r="J21" s="116"/>
      <c r="K21" s="59"/>
      <c r="L21" s="93" t="s">
        <v>102</v>
      </c>
      <c r="M21" s="93"/>
      <c r="N21" s="94"/>
      <c r="O21" s="95" t="s">
        <v>103</v>
      </c>
      <c r="P21" s="110" t="s">
        <v>104</v>
      </c>
      <c r="Q21" s="93"/>
      <c r="R21" s="94"/>
    </row>
    <row r="22" spans="1:19" ht="15" thickBot="1" x14ac:dyDescent="0.4">
      <c r="B22" s="39" t="s">
        <v>105</v>
      </c>
      <c r="C22" s="30" t="s">
        <v>35</v>
      </c>
      <c r="D22" s="30" t="s">
        <v>106</v>
      </c>
      <c r="E22" s="30" t="s">
        <v>107</v>
      </c>
      <c r="F22" s="111"/>
      <c r="G22" s="30" t="s">
        <v>35</v>
      </c>
      <c r="H22" s="30" t="s">
        <v>106</v>
      </c>
      <c r="I22" s="30" t="s">
        <v>107</v>
      </c>
      <c r="J22" s="116"/>
      <c r="K22" s="29" t="s">
        <v>105</v>
      </c>
      <c r="L22" s="30" t="s">
        <v>35</v>
      </c>
      <c r="M22" s="30" t="s">
        <v>106</v>
      </c>
      <c r="N22" s="30" t="s">
        <v>107</v>
      </c>
      <c r="O22" s="111"/>
      <c r="P22" s="30" t="s">
        <v>35</v>
      </c>
      <c r="Q22" s="30" t="s">
        <v>106</v>
      </c>
      <c r="R22" s="31" t="s">
        <v>107</v>
      </c>
    </row>
    <row r="23" spans="1:19" x14ac:dyDescent="0.35">
      <c r="A23" t="s">
        <v>151</v>
      </c>
      <c r="B23" s="40" t="s">
        <v>43</v>
      </c>
      <c r="C23" s="42" t="s">
        <v>141</v>
      </c>
      <c r="D23" s="42" t="s">
        <v>142</v>
      </c>
      <c r="E23" s="34" t="s">
        <v>146</v>
      </c>
      <c r="F23" s="35">
        <v>1</v>
      </c>
      <c r="G23" s="42" t="s">
        <v>144</v>
      </c>
      <c r="H23" s="42" t="s">
        <v>145</v>
      </c>
      <c r="I23" s="34" t="s">
        <v>143</v>
      </c>
      <c r="J23" s="116"/>
      <c r="K23" s="41"/>
      <c r="L23" s="42"/>
      <c r="M23" s="42"/>
      <c r="N23" s="34"/>
      <c r="O23" s="35"/>
      <c r="P23" s="42"/>
      <c r="Q23" s="42"/>
      <c r="R23" s="36"/>
    </row>
    <row r="24" spans="1:19" ht="15" customHeight="1" thickBot="1" x14ac:dyDescent="0.4">
      <c r="B24" s="38"/>
      <c r="C24" s="44"/>
      <c r="D24" s="44"/>
      <c r="E24" s="27"/>
      <c r="F24" s="32"/>
      <c r="G24" s="44"/>
      <c r="H24" s="44"/>
      <c r="I24" s="27"/>
      <c r="J24" s="111"/>
      <c r="K24" s="31"/>
      <c r="L24" s="44"/>
      <c r="M24" s="44"/>
      <c r="N24" s="27"/>
      <c r="O24" s="32"/>
      <c r="P24" s="44"/>
      <c r="Q24" s="44"/>
      <c r="R24" s="28"/>
    </row>
    <row r="25" spans="1:19" ht="15.5" thickBot="1" x14ac:dyDescent="0.4">
      <c r="B25" s="96"/>
      <c r="C25" s="112" t="s">
        <v>101</v>
      </c>
      <c r="D25" s="113"/>
      <c r="E25" s="113"/>
      <c r="F25" s="113"/>
      <c r="G25" s="113"/>
      <c r="H25" s="113"/>
      <c r="I25" s="114"/>
      <c r="J25" s="115" t="s">
        <v>110</v>
      </c>
      <c r="K25" s="95"/>
      <c r="L25" s="112" t="s">
        <v>99</v>
      </c>
      <c r="M25" s="113"/>
      <c r="N25" s="113"/>
      <c r="O25" s="113"/>
      <c r="P25" s="113"/>
      <c r="Q25" s="113"/>
      <c r="R25" s="114"/>
    </row>
    <row r="26" spans="1:19" ht="15" thickBot="1" x14ac:dyDescent="0.4">
      <c r="B26" s="111"/>
      <c r="C26" s="58" t="s">
        <v>102</v>
      </c>
      <c r="D26" s="58"/>
      <c r="E26" s="59"/>
      <c r="F26" s="60" t="s">
        <v>103</v>
      </c>
      <c r="G26" s="97" t="s">
        <v>104</v>
      </c>
      <c r="H26" s="58"/>
      <c r="I26" s="59"/>
      <c r="J26" s="116"/>
      <c r="K26" s="59"/>
      <c r="L26" s="93" t="s">
        <v>102</v>
      </c>
      <c r="M26" s="93"/>
      <c r="N26" s="94"/>
      <c r="O26" s="95" t="s">
        <v>103</v>
      </c>
      <c r="P26" s="110" t="s">
        <v>104</v>
      </c>
      <c r="Q26" s="93"/>
      <c r="R26" s="94"/>
    </row>
    <row r="27" spans="1:19" ht="15" thickBot="1" x14ac:dyDescent="0.4">
      <c r="B27" s="39" t="s">
        <v>105</v>
      </c>
      <c r="C27" s="30" t="s">
        <v>35</v>
      </c>
      <c r="D27" s="30" t="s">
        <v>106</v>
      </c>
      <c r="E27" s="30" t="s">
        <v>107</v>
      </c>
      <c r="F27" s="111"/>
      <c r="G27" s="30" t="s">
        <v>35</v>
      </c>
      <c r="H27" s="30" t="s">
        <v>106</v>
      </c>
      <c r="I27" s="30" t="s">
        <v>107</v>
      </c>
      <c r="J27" s="116"/>
      <c r="K27" s="29" t="s">
        <v>105</v>
      </c>
      <c r="L27" s="30" t="s">
        <v>35</v>
      </c>
      <c r="M27" s="30" t="s">
        <v>106</v>
      </c>
      <c r="N27" s="30" t="s">
        <v>107</v>
      </c>
      <c r="O27" s="111"/>
      <c r="P27" s="30" t="s">
        <v>35</v>
      </c>
      <c r="Q27" s="30" t="s">
        <v>106</v>
      </c>
      <c r="R27" s="31" t="s">
        <v>107</v>
      </c>
    </row>
    <row r="28" spans="1:19" x14ac:dyDescent="0.35">
      <c r="A28" t="s">
        <v>148</v>
      </c>
      <c r="B28" s="40" t="s">
        <v>43</v>
      </c>
      <c r="C28" s="42" t="s">
        <v>141</v>
      </c>
      <c r="D28" s="42" t="s">
        <v>142</v>
      </c>
      <c r="E28" s="34" t="s">
        <v>147</v>
      </c>
      <c r="F28" s="35">
        <v>1</v>
      </c>
      <c r="G28" s="42" t="s">
        <v>144</v>
      </c>
      <c r="H28" s="42" t="s">
        <v>145</v>
      </c>
      <c r="I28" s="34" t="s">
        <v>143</v>
      </c>
      <c r="J28" s="116"/>
      <c r="K28" s="40" t="s">
        <v>43</v>
      </c>
      <c r="L28" s="42" t="s">
        <v>141</v>
      </c>
      <c r="M28" s="42" t="s">
        <v>142</v>
      </c>
      <c r="N28" s="34" t="s">
        <v>147</v>
      </c>
      <c r="O28" s="35">
        <v>1</v>
      </c>
      <c r="P28" s="42"/>
      <c r="Q28" s="42"/>
      <c r="R28" s="36"/>
      <c r="S28" t="s">
        <v>150</v>
      </c>
    </row>
    <row r="29" spans="1:19" ht="15" thickBot="1" x14ac:dyDescent="0.4">
      <c r="B29" s="38"/>
      <c r="C29" s="43"/>
      <c r="D29" s="43"/>
      <c r="E29" s="26"/>
      <c r="F29" s="33"/>
      <c r="G29" s="43"/>
      <c r="H29" s="43"/>
      <c r="I29" s="26"/>
      <c r="J29" s="116"/>
      <c r="K29" s="31"/>
      <c r="L29" s="44"/>
      <c r="M29" s="44"/>
      <c r="N29" s="27"/>
      <c r="O29" s="32"/>
      <c r="P29" s="44"/>
      <c r="Q29" s="44"/>
      <c r="R29" s="28"/>
    </row>
    <row r="30" spans="1:19" ht="15" customHeight="1" thickBot="1" x14ac:dyDescent="0.4">
      <c r="B30" s="96"/>
      <c r="C30" s="112" t="s">
        <v>101</v>
      </c>
      <c r="D30" s="113"/>
      <c r="E30" s="113"/>
      <c r="F30" s="113"/>
      <c r="G30" s="113"/>
      <c r="H30" s="113"/>
      <c r="I30" s="114"/>
      <c r="J30" s="116"/>
      <c r="K30" s="95"/>
      <c r="L30" s="112" t="s">
        <v>108</v>
      </c>
      <c r="M30" s="113"/>
      <c r="N30" s="113"/>
      <c r="O30" s="113"/>
      <c r="P30" s="113"/>
      <c r="Q30" s="113"/>
      <c r="R30" s="114"/>
    </row>
    <row r="31" spans="1:19" ht="15" thickBot="1" x14ac:dyDescent="0.4">
      <c r="B31" s="111"/>
      <c r="C31" s="58" t="s">
        <v>102</v>
      </c>
      <c r="D31" s="58"/>
      <c r="E31" s="59"/>
      <c r="F31" s="60" t="s">
        <v>103</v>
      </c>
      <c r="G31" s="97" t="s">
        <v>104</v>
      </c>
      <c r="H31" s="58"/>
      <c r="I31" s="59"/>
      <c r="J31" s="116"/>
      <c r="K31" s="59"/>
      <c r="L31" s="93" t="s">
        <v>102</v>
      </c>
      <c r="M31" s="93"/>
      <c r="N31" s="94"/>
      <c r="O31" s="95" t="s">
        <v>103</v>
      </c>
      <c r="P31" s="110" t="s">
        <v>104</v>
      </c>
      <c r="Q31" s="93"/>
      <c r="R31" s="94"/>
    </row>
    <row r="32" spans="1:19" ht="15" thickBot="1" x14ac:dyDescent="0.4">
      <c r="B32" s="39" t="s">
        <v>105</v>
      </c>
      <c r="C32" s="30" t="s">
        <v>35</v>
      </c>
      <c r="D32" s="30" t="s">
        <v>106</v>
      </c>
      <c r="E32" s="30" t="s">
        <v>107</v>
      </c>
      <c r="F32" s="111"/>
      <c r="G32" s="30" t="s">
        <v>35</v>
      </c>
      <c r="H32" s="30" t="s">
        <v>106</v>
      </c>
      <c r="I32" s="30" t="s">
        <v>107</v>
      </c>
      <c r="J32" s="116"/>
      <c r="K32" s="29" t="s">
        <v>105</v>
      </c>
      <c r="L32" s="30" t="s">
        <v>35</v>
      </c>
      <c r="M32" s="30" t="s">
        <v>106</v>
      </c>
      <c r="N32" s="30" t="s">
        <v>107</v>
      </c>
      <c r="O32" s="111"/>
      <c r="P32" s="30" t="s">
        <v>35</v>
      </c>
      <c r="Q32" s="30" t="s">
        <v>106</v>
      </c>
      <c r="R32" s="31" t="s">
        <v>107</v>
      </c>
    </row>
    <row r="33" spans="2:19" x14ac:dyDescent="0.35">
      <c r="B33" s="40" t="s">
        <v>43</v>
      </c>
      <c r="C33" s="42" t="s">
        <v>141</v>
      </c>
      <c r="D33" s="42" t="s">
        <v>142</v>
      </c>
      <c r="E33" s="34" t="s">
        <v>147</v>
      </c>
      <c r="F33" s="35">
        <v>1</v>
      </c>
      <c r="G33" s="42" t="s">
        <v>144</v>
      </c>
      <c r="H33" s="42" t="s">
        <v>145</v>
      </c>
      <c r="I33" s="34" t="s">
        <v>147</v>
      </c>
      <c r="J33" s="116"/>
      <c r="K33" s="40" t="s">
        <v>43</v>
      </c>
      <c r="L33" s="42" t="s">
        <v>141</v>
      </c>
      <c r="M33" s="42" t="s">
        <v>142</v>
      </c>
      <c r="N33" s="34" t="s">
        <v>147</v>
      </c>
      <c r="O33" s="35">
        <v>0</v>
      </c>
      <c r="P33" s="42" t="s">
        <v>144</v>
      </c>
      <c r="Q33" s="42" t="s">
        <v>145</v>
      </c>
      <c r="R33" s="34" t="s">
        <v>147</v>
      </c>
      <c r="S33" s="26" t="s">
        <v>150</v>
      </c>
    </row>
    <row r="34" spans="2:19" ht="15" thickBot="1" x14ac:dyDescent="0.4">
      <c r="B34" s="38"/>
      <c r="C34" s="43"/>
      <c r="D34" s="43"/>
      <c r="E34" s="26"/>
      <c r="F34" s="33"/>
      <c r="G34" s="43"/>
      <c r="H34" s="43"/>
      <c r="I34" s="26"/>
      <c r="J34" s="116"/>
      <c r="K34" s="31"/>
      <c r="L34" s="44"/>
      <c r="M34" s="44"/>
      <c r="N34" s="27"/>
      <c r="O34" s="32"/>
      <c r="P34" s="44"/>
      <c r="Q34" s="44"/>
      <c r="R34" s="28"/>
    </row>
    <row r="35" spans="2:19" ht="15.5" thickBot="1" x14ac:dyDescent="0.4">
      <c r="B35" s="96"/>
      <c r="C35" s="112" t="s">
        <v>101</v>
      </c>
      <c r="D35" s="113"/>
      <c r="E35" s="113"/>
      <c r="F35" s="113"/>
      <c r="G35" s="113"/>
      <c r="H35" s="113"/>
      <c r="I35" s="114"/>
      <c r="J35" s="116"/>
      <c r="K35" s="95"/>
      <c r="L35" s="112" t="s">
        <v>109</v>
      </c>
      <c r="M35" s="113"/>
      <c r="N35" s="113"/>
      <c r="O35" s="113"/>
      <c r="P35" s="113"/>
      <c r="Q35" s="113"/>
      <c r="R35" s="114"/>
    </row>
    <row r="36" spans="2:19" ht="15" customHeight="1" thickBot="1" x14ac:dyDescent="0.4">
      <c r="B36" s="111"/>
      <c r="C36" s="58" t="s">
        <v>102</v>
      </c>
      <c r="D36" s="58"/>
      <c r="E36" s="59"/>
      <c r="F36" s="60" t="s">
        <v>103</v>
      </c>
      <c r="G36" s="97" t="s">
        <v>104</v>
      </c>
      <c r="H36" s="58"/>
      <c r="I36" s="59"/>
      <c r="J36" s="116"/>
      <c r="K36" s="59"/>
      <c r="L36" s="93" t="s">
        <v>102</v>
      </c>
      <c r="M36" s="93"/>
      <c r="N36" s="94"/>
      <c r="O36" s="95" t="s">
        <v>103</v>
      </c>
      <c r="P36" s="110" t="s">
        <v>104</v>
      </c>
      <c r="Q36" s="93"/>
      <c r="R36" s="94"/>
    </row>
    <row r="37" spans="2:19" x14ac:dyDescent="0.35">
      <c r="B37" s="39" t="s">
        <v>105</v>
      </c>
      <c r="C37" s="30" t="s">
        <v>35</v>
      </c>
      <c r="D37" s="30" t="s">
        <v>106</v>
      </c>
      <c r="E37" s="30" t="s">
        <v>107</v>
      </c>
      <c r="F37" s="111"/>
      <c r="G37" s="30" t="s">
        <v>35</v>
      </c>
      <c r="H37" s="30" t="s">
        <v>106</v>
      </c>
      <c r="I37" s="30" t="s">
        <v>107</v>
      </c>
      <c r="J37" s="116"/>
      <c r="K37" s="29" t="s">
        <v>105</v>
      </c>
      <c r="L37" s="30" t="s">
        <v>35</v>
      </c>
      <c r="M37" s="30" t="s">
        <v>106</v>
      </c>
      <c r="N37" s="30" t="s">
        <v>107</v>
      </c>
      <c r="O37" s="111"/>
      <c r="P37" s="30" t="s">
        <v>35</v>
      </c>
      <c r="Q37" s="30" t="s">
        <v>106</v>
      </c>
      <c r="R37" s="31" t="s">
        <v>107</v>
      </c>
    </row>
    <row r="38" spans="2:19" x14ac:dyDescent="0.35">
      <c r="B38" s="40" t="s">
        <v>43</v>
      </c>
      <c r="C38" s="42"/>
      <c r="D38" s="42"/>
      <c r="E38" s="34" t="s">
        <v>149</v>
      </c>
      <c r="F38" s="35">
        <v>1</v>
      </c>
      <c r="G38" s="42" t="s">
        <v>144</v>
      </c>
      <c r="H38" s="42" t="s">
        <v>145</v>
      </c>
      <c r="I38" s="34" t="s">
        <v>147</v>
      </c>
      <c r="J38" s="116"/>
      <c r="K38" s="40" t="s">
        <v>43</v>
      </c>
      <c r="L38" s="42" t="s">
        <v>141</v>
      </c>
      <c r="M38" s="42" t="s">
        <v>142</v>
      </c>
      <c r="N38" s="34" t="s">
        <v>146</v>
      </c>
      <c r="O38" s="35">
        <v>1</v>
      </c>
      <c r="P38" s="42" t="s">
        <v>144</v>
      </c>
      <c r="Q38" s="42" t="s">
        <v>145</v>
      </c>
      <c r="R38" s="34" t="s">
        <v>147</v>
      </c>
      <c r="S38" s="26" t="s">
        <v>151</v>
      </c>
    </row>
    <row r="39" spans="2:19" ht="15" thickBot="1" x14ac:dyDescent="0.4">
      <c r="B39" s="38"/>
      <c r="C39" s="44"/>
      <c r="D39" s="44"/>
      <c r="E39" s="27"/>
      <c r="F39" s="32"/>
      <c r="G39" s="44"/>
      <c r="H39" s="44"/>
      <c r="I39" s="27"/>
      <c r="J39" s="111"/>
      <c r="K39" s="31"/>
      <c r="L39" s="44"/>
      <c r="M39" s="44"/>
      <c r="N39" s="27"/>
      <c r="O39" s="32"/>
      <c r="P39" s="44"/>
      <c r="Q39" s="44"/>
      <c r="R39" s="28"/>
    </row>
    <row r="42" spans="2:19" ht="15" customHeight="1" x14ac:dyDescent="0.35"/>
    <row r="48" spans="2:19" ht="15" customHeight="1" x14ac:dyDescent="0.35"/>
    <row r="54" ht="15" customHeight="1" x14ac:dyDescent="0.35"/>
  </sheetData>
  <mergeCells count="72">
    <mergeCell ref="O26:O27"/>
    <mergeCell ref="P26:R26"/>
    <mergeCell ref="P16:R16"/>
    <mergeCell ref="K30:K31"/>
    <mergeCell ref="L30:R30"/>
    <mergeCell ref="F31:F32"/>
    <mergeCell ref="G31:I31"/>
    <mergeCell ref="L31:N31"/>
    <mergeCell ref="O31:O32"/>
    <mergeCell ref="B20:B21"/>
    <mergeCell ref="C20:I20"/>
    <mergeCell ref="K20:K21"/>
    <mergeCell ref="L20:R20"/>
    <mergeCell ref="C21:E21"/>
    <mergeCell ref="F21:F22"/>
    <mergeCell ref="G21:I21"/>
    <mergeCell ref="L21:N21"/>
    <mergeCell ref="O21:O22"/>
    <mergeCell ref="P21:R21"/>
    <mergeCell ref="J10:J24"/>
    <mergeCell ref="O16:O17"/>
    <mergeCell ref="B15:B16"/>
    <mergeCell ref="C15:I15"/>
    <mergeCell ref="K15:K16"/>
    <mergeCell ref="L15:R15"/>
    <mergeCell ref="C16:E16"/>
    <mergeCell ref="F16:F17"/>
    <mergeCell ref="G16:I16"/>
    <mergeCell ref="L16:N16"/>
    <mergeCell ref="B25:B26"/>
    <mergeCell ref="C25:I25"/>
    <mergeCell ref="J25:J39"/>
    <mergeCell ref="K25:K26"/>
    <mergeCell ref="L25:R25"/>
    <mergeCell ref="B30:B31"/>
    <mergeCell ref="C30:I30"/>
    <mergeCell ref="B35:B36"/>
    <mergeCell ref="C35:I35"/>
    <mergeCell ref="K35:K36"/>
    <mergeCell ref="L35:R35"/>
    <mergeCell ref="C36:E36"/>
    <mergeCell ref="F36:F37"/>
    <mergeCell ref="G36:I36"/>
    <mergeCell ref="L36:N36"/>
    <mergeCell ref="O36:O37"/>
    <mergeCell ref="B9:I9"/>
    <mergeCell ref="K9:R9"/>
    <mergeCell ref="C10:I10"/>
    <mergeCell ref="L10:R10"/>
    <mergeCell ref="B10:B11"/>
    <mergeCell ref="G11:I11"/>
    <mergeCell ref="F11:F12"/>
    <mergeCell ref="L11:N11"/>
    <mergeCell ref="P11:R11"/>
    <mergeCell ref="O11:O12"/>
    <mergeCell ref="K10:K11"/>
    <mergeCell ref="P36:R36"/>
    <mergeCell ref="P31:R31"/>
    <mergeCell ref="B2:M2"/>
    <mergeCell ref="B3:C3"/>
    <mergeCell ref="D3:M3"/>
    <mergeCell ref="B4:C4"/>
    <mergeCell ref="D4:M4"/>
    <mergeCell ref="B5:C5"/>
    <mergeCell ref="D5:M5"/>
    <mergeCell ref="F26:F27"/>
    <mergeCell ref="G26:I26"/>
    <mergeCell ref="L26:N26"/>
    <mergeCell ref="C31:E31"/>
    <mergeCell ref="C26:E26"/>
    <mergeCell ref="C11:E11"/>
    <mergeCell ref="B7:R8"/>
  </mergeCells>
  <pageMargins left="0.7" right="0.7" top="0.75" bottom="0.75" header="0.3" footer="0.3"/>
  <pageSetup paperSize="9" scale="8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8E2D-DB18-A849-833D-801D465A3264}">
  <sheetPr>
    <pageSetUpPr fitToPage="1"/>
  </sheetPr>
  <dimension ref="A1:S53"/>
  <sheetViews>
    <sheetView topLeftCell="D24" workbookViewId="0">
      <selection activeCell="O41" sqref="O41"/>
    </sheetView>
  </sheetViews>
  <sheetFormatPr defaultColWidth="8.81640625" defaultRowHeight="14.5" x14ac:dyDescent="0.35"/>
  <sheetData>
    <row r="1" spans="1:19" ht="15" thickBot="1" x14ac:dyDescent="0.4"/>
    <row r="2" spans="1:19" ht="15" thickBot="1" x14ac:dyDescent="0.4">
      <c r="B2" s="55" t="s">
        <v>70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1:19" x14ac:dyDescent="0.35">
      <c r="B3" s="63" t="s">
        <v>71</v>
      </c>
      <c r="C3" s="64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1:19" x14ac:dyDescent="0.35">
      <c r="B4" s="65" t="s">
        <v>72</v>
      </c>
      <c r="C4" s="66"/>
      <c r="D4" s="83"/>
      <c r="E4" s="83"/>
      <c r="F4" s="83"/>
      <c r="G4" s="83"/>
      <c r="H4" s="83"/>
      <c r="I4" s="83"/>
      <c r="J4" s="83"/>
      <c r="K4" s="83"/>
      <c r="L4" s="83"/>
      <c r="M4" s="84"/>
    </row>
    <row r="5" spans="1:19" ht="15" thickBot="1" x14ac:dyDescent="0.4">
      <c r="B5" s="67" t="s">
        <v>73</v>
      </c>
      <c r="C5" s="68"/>
      <c r="D5" s="81"/>
      <c r="E5" s="81"/>
      <c r="F5" s="81"/>
      <c r="G5" s="81"/>
      <c r="H5" s="81"/>
      <c r="I5" s="81"/>
      <c r="J5" s="81"/>
      <c r="K5" s="81"/>
      <c r="L5" s="81"/>
      <c r="M5" s="82"/>
    </row>
    <row r="7" spans="1:19" x14ac:dyDescent="0.35">
      <c r="B7" s="77" t="s">
        <v>125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</row>
    <row r="8" spans="1:19" ht="15" thickBot="1" x14ac:dyDescent="0.4">
      <c r="B8" s="72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/>
    </row>
    <row r="9" spans="1:19" ht="15.5" thickBot="1" x14ac:dyDescent="0.4">
      <c r="B9" s="117"/>
      <c r="C9" s="112" t="s">
        <v>99</v>
      </c>
      <c r="D9" s="113"/>
      <c r="E9" s="113"/>
      <c r="F9" s="113"/>
      <c r="G9" s="113"/>
      <c r="H9" s="113"/>
      <c r="I9" s="114"/>
      <c r="J9" s="115" t="s">
        <v>123</v>
      </c>
      <c r="K9" s="117"/>
      <c r="L9" s="112" t="s">
        <v>101</v>
      </c>
      <c r="M9" s="113"/>
      <c r="N9" s="113"/>
      <c r="O9" s="113"/>
      <c r="P9" s="113"/>
      <c r="Q9" s="113"/>
      <c r="R9" s="114"/>
    </row>
    <row r="10" spans="1:19" ht="15" thickBot="1" x14ac:dyDescent="0.4">
      <c r="B10" s="111"/>
      <c r="C10" s="110" t="s">
        <v>102</v>
      </c>
      <c r="D10" s="93"/>
      <c r="E10" s="94"/>
      <c r="F10" s="117" t="s">
        <v>103</v>
      </c>
      <c r="G10" s="110" t="s">
        <v>104</v>
      </c>
      <c r="H10" s="93"/>
      <c r="I10" s="94"/>
      <c r="J10" s="118"/>
      <c r="K10" s="111"/>
      <c r="L10" s="110" t="s">
        <v>102</v>
      </c>
      <c r="M10" s="93"/>
      <c r="N10" s="94"/>
      <c r="O10" s="117" t="s">
        <v>103</v>
      </c>
      <c r="P10" s="110" t="s">
        <v>104</v>
      </c>
      <c r="Q10" s="93"/>
      <c r="R10" s="94"/>
    </row>
    <row r="11" spans="1:19" ht="15" customHeight="1" thickBot="1" x14ac:dyDescent="0.4">
      <c r="B11" s="39" t="s">
        <v>105</v>
      </c>
      <c r="C11" s="30" t="s">
        <v>35</v>
      </c>
      <c r="D11" s="30" t="s">
        <v>106</v>
      </c>
      <c r="E11" s="30" t="s">
        <v>107</v>
      </c>
      <c r="F11" s="111"/>
      <c r="G11" s="30" t="s">
        <v>35</v>
      </c>
      <c r="H11" s="30" t="s">
        <v>106</v>
      </c>
      <c r="I11" s="30" t="s">
        <v>107</v>
      </c>
      <c r="J11" s="118"/>
      <c r="K11" s="29" t="s">
        <v>105</v>
      </c>
      <c r="L11" s="30" t="s">
        <v>35</v>
      </c>
      <c r="M11" s="30" t="s">
        <v>106</v>
      </c>
      <c r="N11" s="30" t="s">
        <v>107</v>
      </c>
      <c r="O11" s="111"/>
      <c r="P11" s="30" t="s">
        <v>35</v>
      </c>
      <c r="Q11" s="30" t="s">
        <v>106</v>
      </c>
      <c r="R11" s="31" t="s">
        <v>107</v>
      </c>
    </row>
    <row r="12" spans="1:19" x14ac:dyDescent="0.35">
      <c r="A12" t="s">
        <v>150</v>
      </c>
      <c r="B12" s="40" t="s">
        <v>43</v>
      </c>
      <c r="C12" t="s">
        <v>141</v>
      </c>
      <c r="D12" t="s">
        <v>142</v>
      </c>
      <c r="E12" t="s">
        <v>147</v>
      </c>
      <c r="F12" s="35">
        <v>1</v>
      </c>
      <c r="G12" s="42" t="s">
        <v>144</v>
      </c>
      <c r="H12" s="42" t="s">
        <v>145</v>
      </c>
      <c r="I12" s="34" t="s">
        <v>147</v>
      </c>
      <c r="J12" s="118"/>
      <c r="K12" s="40" t="s">
        <v>43</v>
      </c>
      <c r="L12" s="42" t="s">
        <v>141</v>
      </c>
      <c r="M12" s="42" t="s">
        <v>142</v>
      </c>
      <c r="N12" s="34" t="s">
        <v>147</v>
      </c>
      <c r="O12" s="35">
        <v>1</v>
      </c>
      <c r="P12" s="42" t="s">
        <v>144</v>
      </c>
      <c r="Q12" s="42" t="s">
        <v>145</v>
      </c>
      <c r="R12" s="34" t="s">
        <v>147</v>
      </c>
      <c r="S12" s="26" t="s">
        <v>152</v>
      </c>
    </row>
    <row r="13" spans="1:19" ht="15" thickBot="1" x14ac:dyDescent="0.4">
      <c r="B13" s="38"/>
      <c r="C13" s="43"/>
      <c r="D13" s="43"/>
      <c r="E13" s="26"/>
      <c r="F13" s="33"/>
      <c r="G13" s="43"/>
      <c r="H13" s="43"/>
      <c r="I13" s="26"/>
      <c r="J13" s="118"/>
      <c r="K13" s="31"/>
      <c r="L13" s="44"/>
      <c r="M13" s="44"/>
      <c r="N13" s="27"/>
      <c r="O13" s="32"/>
      <c r="P13" s="44"/>
      <c r="Q13" s="44"/>
      <c r="R13" s="28"/>
    </row>
    <row r="14" spans="1:19" ht="15.5" thickBot="1" x14ac:dyDescent="0.4">
      <c r="B14" s="117"/>
      <c r="C14" s="112" t="s">
        <v>108</v>
      </c>
      <c r="D14" s="113"/>
      <c r="E14" s="113"/>
      <c r="F14" s="113"/>
      <c r="G14" s="113"/>
      <c r="H14" s="113"/>
      <c r="I14" s="114"/>
      <c r="J14" s="118"/>
      <c r="K14" s="117"/>
      <c r="L14" s="112" t="s">
        <v>101</v>
      </c>
      <c r="M14" s="113"/>
      <c r="N14" s="113"/>
      <c r="O14" s="113"/>
      <c r="P14" s="113"/>
      <c r="Q14" s="113"/>
      <c r="R14" s="114"/>
    </row>
    <row r="15" spans="1:19" ht="15" thickBot="1" x14ac:dyDescent="0.4">
      <c r="B15" s="111"/>
      <c r="C15" s="110" t="s">
        <v>102</v>
      </c>
      <c r="D15" s="93"/>
      <c r="E15" s="94"/>
      <c r="F15" s="117" t="s">
        <v>103</v>
      </c>
      <c r="G15" s="110" t="s">
        <v>104</v>
      </c>
      <c r="H15" s="93"/>
      <c r="I15" s="94"/>
      <c r="J15" s="118"/>
      <c r="K15" s="111"/>
      <c r="L15" s="110" t="s">
        <v>102</v>
      </c>
      <c r="M15" s="93"/>
      <c r="N15" s="94"/>
      <c r="O15" s="117" t="s">
        <v>103</v>
      </c>
      <c r="P15" s="110" t="s">
        <v>104</v>
      </c>
      <c r="Q15" s="93"/>
      <c r="R15" s="94"/>
    </row>
    <row r="16" spans="1:19" ht="15" thickBot="1" x14ac:dyDescent="0.4">
      <c r="B16" s="39" t="s">
        <v>105</v>
      </c>
      <c r="C16" s="30" t="s">
        <v>35</v>
      </c>
      <c r="D16" s="30" t="s">
        <v>106</v>
      </c>
      <c r="E16" s="30" t="s">
        <v>107</v>
      </c>
      <c r="F16" s="111"/>
      <c r="G16" s="30" t="s">
        <v>35</v>
      </c>
      <c r="H16" s="30" t="s">
        <v>106</v>
      </c>
      <c r="I16" s="30" t="s">
        <v>107</v>
      </c>
      <c r="J16" s="118"/>
      <c r="K16" s="29" t="s">
        <v>105</v>
      </c>
      <c r="L16" s="30" t="s">
        <v>35</v>
      </c>
      <c r="M16" s="30" t="s">
        <v>106</v>
      </c>
      <c r="N16" s="30" t="s">
        <v>107</v>
      </c>
      <c r="O16" s="111"/>
      <c r="P16" s="30" t="s">
        <v>35</v>
      </c>
      <c r="Q16" s="30" t="s">
        <v>106</v>
      </c>
      <c r="R16" s="31" t="s">
        <v>107</v>
      </c>
    </row>
    <row r="17" spans="1:19" ht="15" customHeight="1" x14ac:dyDescent="0.35">
      <c r="A17" t="s">
        <v>151</v>
      </c>
      <c r="B17" s="40" t="s">
        <v>43</v>
      </c>
      <c r="C17" s="42" t="s">
        <v>141</v>
      </c>
      <c r="D17" s="42" t="s">
        <v>142</v>
      </c>
      <c r="E17" s="34" t="s">
        <v>147</v>
      </c>
      <c r="F17" s="35">
        <v>0</v>
      </c>
      <c r="G17" s="42" t="s">
        <v>144</v>
      </c>
      <c r="H17" s="42" t="s">
        <v>145</v>
      </c>
      <c r="I17" s="34" t="s">
        <v>147</v>
      </c>
      <c r="J17" s="118"/>
      <c r="K17" s="40" t="s">
        <v>43</v>
      </c>
      <c r="L17" s="42" t="s">
        <v>141</v>
      </c>
      <c r="M17" s="42" t="s">
        <v>142</v>
      </c>
      <c r="N17" s="34" t="s">
        <v>147</v>
      </c>
      <c r="O17" s="35">
        <v>1</v>
      </c>
      <c r="P17" s="42" t="s">
        <v>144</v>
      </c>
      <c r="Q17" s="42" t="s">
        <v>145</v>
      </c>
      <c r="R17" s="34" t="s">
        <v>147</v>
      </c>
    </row>
    <row r="18" spans="1:19" ht="15" thickBot="1" x14ac:dyDescent="0.4">
      <c r="B18" s="38"/>
      <c r="C18" s="43"/>
      <c r="D18" s="43"/>
      <c r="E18" s="26"/>
      <c r="F18" s="33"/>
      <c r="G18" s="43"/>
      <c r="H18" s="43"/>
      <c r="I18" s="26"/>
      <c r="J18" s="118"/>
      <c r="K18" s="31"/>
      <c r="L18" s="44"/>
      <c r="M18" s="44"/>
      <c r="N18" s="27"/>
      <c r="O18" s="32"/>
      <c r="P18" s="44"/>
      <c r="Q18" s="44"/>
      <c r="R18" s="28"/>
    </row>
    <row r="19" spans="1:19" ht="15.5" thickBot="1" x14ac:dyDescent="0.4">
      <c r="B19" s="117"/>
      <c r="C19" s="112" t="s">
        <v>109</v>
      </c>
      <c r="D19" s="113"/>
      <c r="E19" s="113"/>
      <c r="F19" s="113"/>
      <c r="G19" s="113"/>
      <c r="H19" s="113"/>
      <c r="I19" s="114"/>
      <c r="J19" s="118"/>
      <c r="K19" s="117"/>
      <c r="L19" s="112" t="s">
        <v>101</v>
      </c>
      <c r="M19" s="113"/>
      <c r="N19" s="113"/>
      <c r="O19" s="113"/>
      <c r="P19" s="113"/>
      <c r="Q19" s="113"/>
      <c r="R19" s="114"/>
    </row>
    <row r="20" spans="1:19" ht="15" thickBot="1" x14ac:dyDescent="0.4">
      <c r="B20" s="111"/>
      <c r="C20" s="110" t="s">
        <v>102</v>
      </c>
      <c r="D20" s="93"/>
      <c r="E20" s="94"/>
      <c r="F20" s="117" t="s">
        <v>103</v>
      </c>
      <c r="G20" s="110" t="s">
        <v>104</v>
      </c>
      <c r="H20" s="93"/>
      <c r="I20" s="94"/>
      <c r="J20" s="118"/>
      <c r="K20" s="111"/>
      <c r="L20" s="110" t="s">
        <v>102</v>
      </c>
      <c r="M20" s="93"/>
      <c r="N20" s="94"/>
      <c r="O20" s="117" t="s">
        <v>103</v>
      </c>
      <c r="P20" s="110" t="s">
        <v>104</v>
      </c>
      <c r="Q20" s="93"/>
      <c r="R20" s="94"/>
    </row>
    <row r="21" spans="1:19" ht="15" thickBot="1" x14ac:dyDescent="0.4">
      <c r="B21" s="39" t="s">
        <v>105</v>
      </c>
      <c r="C21" s="30" t="s">
        <v>35</v>
      </c>
      <c r="D21" s="30" t="s">
        <v>106</v>
      </c>
      <c r="E21" s="30" t="s">
        <v>107</v>
      </c>
      <c r="F21" s="111"/>
      <c r="G21" s="30" t="s">
        <v>35</v>
      </c>
      <c r="H21" s="30" t="s">
        <v>106</v>
      </c>
      <c r="I21" s="30" t="s">
        <v>107</v>
      </c>
      <c r="J21" s="118"/>
      <c r="K21" s="29" t="s">
        <v>105</v>
      </c>
      <c r="L21" s="30" t="s">
        <v>35</v>
      </c>
      <c r="M21" s="30" t="s">
        <v>106</v>
      </c>
      <c r="N21" s="30" t="s">
        <v>107</v>
      </c>
      <c r="O21" s="111"/>
      <c r="P21" s="30" t="s">
        <v>35</v>
      </c>
      <c r="Q21" s="30" t="s">
        <v>106</v>
      </c>
      <c r="R21" s="31" t="s">
        <v>107</v>
      </c>
    </row>
    <row r="22" spans="1:19" x14ac:dyDescent="0.35">
      <c r="A22" t="s">
        <v>151</v>
      </c>
      <c r="B22" s="40" t="s">
        <v>43</v>
      </c>
      <c r="C22" s="42" t="s">
        <v>141</v>
      </c>
      <c r="D22" s="42" t="s">
        <v>142</v>
      </c>
      <c r="E22" s="34" t="s">
        <v>146</v>
      </c>
      <c r="F22" s="35">
        <v>1</v>
      </c>
      <c r="G22" s="42" t="s">
        <v>144</v>
      </c>
      <c r="H22" s="42" t="s">
        <v>145</v>
      </c>
      <c r="I22" s="34" t="s">
        <v>147</v>
      </c>
      <c r="J22" s="118"/>
      <c r="K22" s="40" t="s">
        <v>43</v>
      </c>
      <c r="L22" s="42"/>
      <c r="M22" s="42"/>
      <c r="N22" s="34" t="s">
        <v>149</v>
      </c>
      <c r="O22" s="35">
        <v>1</v>
      </c>
      <c r="P22" s="42" t="s">
        <v>144</v>
      </c>
      <c r="Q22" s="42" t="s">
        <v>145</v>
      </c>
      <c r="R22" s="34" t="s">
        <v>147</v>
      </c>
    </row>
    <row r="23" spans="1:19" ht="15" customHeight="1" thickBot="1" x14ac:dyDescent="0.4">
      <c r="B23" s="38"/>
      <c r="C23" s="44"/>
      <c r="D23" s="44"/>
      <c r="E23" s="27"/>
      <c r="F23" s="32"/>
      <c r="G23" s="44"/>
      <c r="H23" s="44"/>
      <c r="I23" s="27"/>
      <c r="J23" s="119"/>
      <c r="K23" s="31"/>
      <c r="L23" s="44"/>
      <c r="M23" s="44"/>
      <c r="N23" s="27"/>
      <c r="O23" s="32"/>
      <c r="P23" s="44"/>
      <c r="Q23" s="44"/>
      <c r="R23" s="28"/>
    </row>
    <row r="24" spans="1:19" ht="15.5" thickBot="1" x14ac:dyDescent="0.4">
      <c r="B24" s="117"/>
      <c r="C24" s="112" t="s">
        <v>101</v>
      </c>
      <c r="D24" s="113"/>
      <c r="E24" s="113"/>
      <c r="F24" s="113"/>
      <c r="G24" s="113"/>
      <c r="H24" s="113"/>
      <c r="I24" s="114"/>
      <c r="J24" s="115" t="s">
        <v>124</v>
      </c>
      <c r="K24" s="117"/>
      <c r="L24" s="112" t="s">
        <v>99</v>
      </c>
      <c r="M24" s="113"/>
      <c r="N24" s="113"/>
      <c r="O24" s="113"/>
      <c r="P24" s="113"/>
      <c r="Q24" s="113"/>
      <c r="R24" s="114"/>
    </row>
    <row r="25" spans="1:19" ht="15" thickBot="1" x14ac:dyDescent="0.4">
      <c r="B25" s="111"/>
      <c r="C25" s="110" t="s">
        <v>102</v>
      </c>
      <c r="D25" s="93"/>
      <c r="E25" s="94"/>
      <c r="F25" s="117" t="s">
        <v>103</v>
      </c>
      <c r="G25" s="110" t="s">
        <v>104</v>
      </c>
      <c r="H25" s="93"/>
      <c r="I25" s="94"/>
      <c r="J25" s="118"/>
      <c r="K25" s="111"/>
      <c r="L25" s="110" t="s">
        <v>102</v>
      </c>
      <c r="M25" s="93"/>
      <c r="N25" s="94"/>
      <c r="O25" s="117" t="s">
        <v>103</v>
      </c>
      <c r="P25" s="110" t="s">
        <v>104</v>
      </c>
      <c r="Q25" s="93"/>
      <c r="R25" s="94"/>
    </row>
    <row r="26" spans="1:19" ht="15" thickBot="1" x14ac:dyDescent="0.4">
      <c r="B26" s="39" t="s">
        <v>105</v>
      </c>
      <c r="C26" s="30" t="s">
        <v>35</v>
      </c>
      <c r="D26" s="30" t="s">
        <v>106</v>
      </c>
      <c r="E26" s="30" t="s">
        <v>107</v>
      </c>
      <c r="F26" s="111"/>
      <c r="G26" s="30" t="s">
        <v>35</v>
      </c>
      <c r="H26" s="30" t="s">
        <v>106</v>
      </c>
      <c r="I26" s="30" t="s">
        <v>107</v>
      </c>
      <c r="J26" s="118"/>
      <c r="K26" s="29" t="s">
        <v>105</v>
      </c>
      <c r="L26" s="30" t="s">
        <v>35</v>
      </c>
      <c r="M26" s="30" t="s">
        <v>106</v>
      </c>
      <c r="N26" s="30" t="s">
        <v>107</v>
      </c>
      <c r="O26" s="111"/>
      <c r="P26" s="30" t="s">
        <v>35</v>
      </c>
      <c r="Q26" s="30" t="s">
        <v>106</v>
      </c>
      <c r="R26" s="31" t="s">
        <v>107</v>
      </c>
    </row>
    <row r="27" spans="1:19" x14ac:dyDescent="0.35">
      <c r="A27" t="s">
        <v>152</v>
      </c>
      <c r="B27" s="40" t="s">
        <v>43</v>
      </c>
      <c r="C27" s="42" t="s">
        <v>141</v>
      </c>
      <c r="D27" s="42" t="s">
        <v>142</v>
      </c>
      <c r="E27" s="34" t="s">
        <v>147</v>
      </c>
      <c r="F27" s="35">
        <v>1</v>
      </c>
      <c r="G27" s="42" t="s">
        <v>144</v>
      </c>
      <c r="H27" s="42" t="s">
        <v>145</v>
      </c>
      <c r="I27" s="34" t="s">
        <v>147</v>
      </c>
      <c r="J27" s="118"/>
      <c r="K27" s="40" t="s">
        <v>43</v>
      </c>
      <c r="L27" s="42" t="s">
        <v>141</v>
      </c>
      <c r="M27" s="42" t="s">
        <v>142</v>
      </c>
      <c r="N27" s="34" t="s">
        <v>147</v>
      </c>
      <c r="O27" s="35">
        <v>1</v>
      </c>
      <c r="P27" s="42" t="s">
        <v>144</v>
      </c>
      <c r="Q27" s="42" t="s">
        <v>145</v>
      </c>
      <c r="R27" s="34" t="s">
        <v>147</v>
      </c>
      <c r="S27" s="26" t="s">
        <v>150</v>
      </c>
    </row>
    <row r="28" spans="1:19" ht="15" thickBot="1" x14ac:dyDescent="0.4">
      <c r="B28" s="38"/>
      <c r="C28" s="43"/>
      <c r="D28" s="43"/>
      <c r="E28" s="26"/>
      <c r="F28" s="33"/>
      <c r="G28" s="43"/>
      <c r="H28" s="43"/>
      <c r="I28" s="26"/>
      <c r="J28" s="118"/>
      <c r="K28" s="31"/>
      <c r="L28" s="44"/>
      <c r="M28" s="44"/>
      <c r="N28" s="27"/>
      <c r="O28" s="32"/>
      <c r="P28" s="44"/>
      <c r="Q28" s="44"/>
      <c r="R28" s="28"/>
    </row>
    <row r="29" spans="1:19" ht="15" customHeight="1" thickBot="1" x14ac:dyDescent="0.4">
      <c r="B29" s="117"/>
      <c r="C29" s="112" t="s">
        <v>101</v>
      </c>
      <c r="D29" s="113"/>
      <c r="E29" s="113"/>
      <c r="F29" s="113"/>
      <c r="G29" s="113"/>
      <c r="H29" s="113"/>
      <c r="I29" s="114"/>
      <c r="J29" s="118"/>
      <c r="K29" s="117"/>
      <c r="L29" s="112" t="s">
        <v>108</v>
      </c>
      <c r="M29" s="113"/>
      <c r="N29" s="113"/>
      <c r="O29" s="113"/>
      <c r="P29" s="113"/>
      <c r="Q29" s="113"/>
      <c r="R29" s="114"/>
    </row>
    <row r="30" spans="1:19" ht="15" thickBot="1" x14ac:dyDescent="0.4">
      <c r="B30" s="111"/>
      <c r="C30" s="110" t="s">
        <v>102</v>
      </c>
      <c r="D30" s="93"/>
      <c r="E30" s="94"/>
      <c r="F30" s="117" t="s">
        <v>103</v>
      </c>
      <c r="G30" s="110" t="s">
        <v>104</v>
      </c>
      <c r="H30" s="93"/>
      <c r="I30" s="94"/>
      <c r="J30" s="118"/>
      <c r="K30" s="111"/>
      <c r="L30" s="110" t="s">
        <v>102</v>
      </c>
      <c r="M30" s="93"/>
      <c r="N30" s="94"/>
      <c r="O30" s="117" t="s">
        <v>103</v>
      </c>
      <c r="P30" s="110" t="s">
        <v>104</v>
      </c>
      <c r="Q30" s="93"/>
      <c r="R30" s="94"/>
    </row>
    <row r="31" spans="1:19" ht="15" thickBot="1" x14ac:dyDescent="0.4">
      <c r="B31" s="39" t="s">
        <v>105</v>
      </c>
      <c r="C31" s="30" t="s">
        <v>35</v>
      </c>
      <c r="D31" s="30" t="s">
        <v>106</v>
      </c>
      <c r="E31" s="30" t="s">
        <v>107</v>
      </c>
      <c r="F31" s="111"/>
      <c r="G31" s="30" t="s">
        <v>35</v>
      </c>
      <c r="H31" s="30" t="s">
        <v>106</v>
      </c>
      <c r="I31" s="30" t="s">
        <v>107</v>
      </c>
      <c r="J31" s="118"/>
      <c r="K31" s="29" t="s">
        <v>105</v>
      </c>
      <c r="L31" s="30" t="s">
        <v>35</v>
      </c>
      <c r="M31" s="30" t="s">
        <v>106</v>
      </c>
      <c r="N31" s="30" t="s">
        <v>107</v>
      </c>
      <c r="O31" s="111"/>
      <c r="P31" s="30" t="s">
        <v>35</v>
      </c>
      <c r="Q31" s="30" t="s">
        <v>106</v>
      </c>
      <c r="R31" s="31" t="s">
        <v>107</v>
      </c>
    </row>
    <row r="32" spans="1:19" x14ac:dyDescent="0.35">
      <c r="B32" s="40" t="s">
        <v>43</v>
      </c>
      <c r="C32" s="42" t="s">
        <v>141</v>
      </c>
      <c r="D32" s="42" t="s">
        <v>142</v>
      </c>
      <c r="E32" s="34" t="s">
        <v>147</v>
      </c>
      <c r="F32" s="35">
        <v>1</v>
      </c>
      <c r="G32" s="42" t="s">
        <v>144</v>
      </c>
      <c r="H32" s="42" t="s">
        <v>145</v>
      </c>
      <c r="I32" s="34" t="s">
        <v>147</v>
      </c>
      <c r="J32" s="118"/>
      <c r="K32" s="40" t="s">
        <v>43</v>
      </c>
      <c r="L32" s="42" t="s">
        <v>141</v>
      </c>
      <c r="M32" s="42" t="s">
        <v>142</v>
      </c>
      <c r="N32" s="34" t="s">
        <v>147</v>
      </c>
      <c r="O32" s="35">
        <v>0</v>
      </c>
      <c r="P32" s="42" t="s">
        <v>144</v>
      </c>
      <c r="Q32" s="42" t="s">
        <v>145</v>
      </c>
      <c r="R32" s="34" t="s">
        <v>147</v>
      </c>
      <c r="S32" s="26" t="s">
        <v>153</v>
      </c>
    </row>
    <row r="33" spans="2:19" ht="15" thickBot="1" x14ac:dyDescent="0.4">
      <c r="B33" s="38"/>
      <c r="C33" s="43"/>
      <c r="D33" s="43"/>
      <c r="E33" s="26"/>
      <c r="F33" s="33"/>
      <c r="G33" s="43"/>
      <c r="H33" s="43"/>
      <c r="I33" s="26"/>
      <c r="J33" s="118"/>
      <c r="K33" s="31"/>
      <c r="L33" s="44"/>
      <c r="M33" s="44"/>
      <c r="N33" s="27"/>
      <c r="O33" s="32"/>
      <c r="P33" s="44"/>
      <c r="Q33" s="44"/>
      <c r="R33" s="28"/>
    </row>
    <row r="34" spans="2:19" ht="15.5" thickBot="1" x14ac:dyDescent="0.4">
      <c r="B34" s="117"/>
      <c r="C34" s="112" t="s">
        <v>101</v>
      </c>
      <c r="D34" s="113"/>
      <c r="E34" s="113"/>
      <c r="F34" s="113"/>
      <c r="G34" s="113"/>
      <c r="H34" s="113"/>
      <c r="I34" s="114"/>
      <c r="J34" s="118"/>
      <c r="K34" s="117"/>
      <c r="L34" s="112" t="s">
        <v>109</v>
      </c>
      <c r="M34" s="113"/>
      <c r="N34" s="113"/>
      <c r="O34" s="113"/>
      <c r="P34" s="113"/>
      <c r="Q34" s="113"/>
      <c r="R34" s="114"/>
    </row>
    <row r="35" spans="2:19" ht="15" customHeight="1" thickBot="1" x14ac:dyDescent="0.4">
      <c r="B35" s="111"/>
      <c r="C35" s="110" t="s">
        <v>102</v>
      </c>
      <c r="D35" s="93"/>
      <c r="E35" s="94"/>
      <c r="F35" s="117" t="s">
        <v>103</v>
      </c>
      <c r="G35" s="110" t="s">
        <v>104</v>
      </c>
      <c r="H35" s="93"/>
      <c r="I35" s="94"/>
      <c r="J35" s="118"/>
      <c r="K35" s="111"/>
      <c r="L35" s="110" t="s">
        <v>102</v>
      </c>
      <c r="M35" s="93"/>
      <c r="N35" s="94"/>
      <c r="O35" s="117" t="s">
        <v>103</v>
      </c>
      <c r="P35" s="110" t="s">
        <v>104</v>
      </c>
      <c r="Q35" s="93"/>
      <c r="R35" s="94"/>
    </row>
    <row r="36" spans="2:19" ht="15" thickBot="1" x14ac:dyDescent="0.4">
      <c r="B36" s="39" t="s">
        <v>105</v>
      </c>
      <c r="C36" s="30" t="s">
        <v>35</v>
      </c>
      <c r="D36" s="30" t="s">
        <v>106</v>
      </c>
      <c r="E36" s="30" t="s">
        <v>107</v>
      </c>
      <c r="F36" s="111"/>
      <c r="G36" s="30" t="s">
        <v>35</v>
      </c>
      <c r="H36" s="30" t="s">
        <v>106</v>
      </c>
      <c r="I36" s="30" t="s">
        <v>107</v>
      </c>
      <c r="J36" s="118"/>
      <c r="K36" s="29" t="s">
        <v>105</v>
      </c>
      <c r="L36" s="30" t="s">
        <v>35</v>
      </c>
      <c r="M36" s="30" t="s">
        <v>106</v>
      </c>
      <c r="N36" s="30" t="s">
        <v>107</v>
      </c>
      <c r="O36" s="111"/>
      <c r="P36" s="30" t="s">
        <v>35</v>
      </c>
      <c r="Q36" s="30" t="s">
        <v>106</v>
      </c>
      <c r="R36" s="31" t="s">
        <v>107</v>
      </c>
    </row>
    <row r="37" spans="2:19" x14ac:dyDescent="0.35">
      <c r="B37" s="40" t="s">
        <v>43</v>
      </c>
      <c r="C37" s="42"/>
      <c r="D37" s="42"/>
      <c r="E37" s="34" t="s">
        <v>149</v>
      </c>
      <c r="F37" s="35">
        <v>1</v>
      </c>
      <c r="G37" s="42" t="s">
        <v>144</v>
      </c>
      <c r="H37" s="42" t="s">
        <v>145</v>
      </c>
      <c r="I37" s="34" t="s">
        <v>147</v>
      </c>
      <c r="J37" s="118"/>
      <c r="K37" s="40" t="s">
        <v>43</v>
      </c>
      <c r="L37" s="42" t="s">
        <v>141</v>
      </c>
      <c r="M37" s="42" t="s">
        <v>142</v>
      </c>
      <c r="N37" s="34" t="s">
        <v>146</v>
      </c>
      <c r="O37" s="35">
        <v>1</v>
      </c>
      <c r="P37" s="42" t="s">
        <v>144</v>
      </c>
      <c r="Q37" s="42" t="s">
        <v>145</v>
      </c>
      <c r="R37" s="34" t="s">
        <v>147</v>
      </c>
      <c r="S37" s="26" t="s">
        <v>151</v>
      </c>
    </row>
    <row r="38" spans="2:19" ht="15" thickBot="1" x14ac:dyDescent="0.4">
      <c r="B38" s="38"/>
      <c r="C38" s="44"/>
      <c r="D38" s="44"/>
      <c r="E38" s="27"/>
      <c r="F38" s="32"/>
      <c r="G38" s="44"/>
      <c r="H38" s="44"/>
      <c r="I38" s="27"/>
      <c r="J38" s="119"/>
      <c r="K38" s="31"/>
      <c r="L38" s="44"/>
      <c r="M38" s="44"/>
      <c r="N38" s="27"/>
      <c r="O38" s="32"/>
      <c r="P38" s="44"/>
      <c r="Q38" s="44"/>
      <c r="R38" s="28"/>
    </row>
    <row r="41" spans="2:19" ht="15" customHeight="1" x14ac:dyDescent="0.35"/>
    <row r="47" spans="2:19" ht="15" customHeight="1" x14ac:dyDescent="0.35"/>
    <row r="53" ht="15" customHeight="1" x14ac:dyDescent="0.35"/>
  </sheetData>
  <mergeCells count="70">
    <mergeCell ref="O15:O16"/>
    <mergeCell ref="P15:R15"/>
    <mergeCell ref="P10:R10"/>
    <mergeCell ref="B7:R8"/>
    <mergeCell ref="B2:M2"/>
    <mergeCell ref="B3:C3"/>
    <mergeCell ref="D3:M3"/>
    <mergeCell ref="B4:C4"/>
    <mergeCell ref="D4:M4"/>
    <mergeCell ref="B5:C5"/>
    <mergeCell ref="D5:M5"/>
    <mergeCell ref="C10:E10"/>
    <mergeCell ref="F10:F11"/>
    <mergeCell ref="G10:I10"/>
    <mergeCell ref="L10:N10"/>
    <mergeCell ref="O10:O11"/>
    <mergeCell ref="L29:R29"/>
    <mergeCell ref="C30:E30"/>
    <mergeCell ref="F30:F31"/>
    <mergeCell ref="G30:I30"/>
    <mergeCell ref="L30:N30"/>
    <mergeCell ref="O30:O31"/>
    <mergeCell ref="P35:R35"/>
    <mergeCell ref="P30:R30"/>
    <mergeCell ref="B34:B35"/>
    <mergeCell ref="C34:I34"/>
    <mergeCell ref="K34:K35"/>
    <mergeCell ref="L34:R34"/>
    <mergeCell ref="C35:E35"/>
    <mergeCell ref="F35:F36"/>
    <mergeCell ref="G35:I35"/>
    <mergeCell ref="L35:N35"/>
    <mergeCell ref="O35:O36"/>
    <mergeCell ref="J24:J38"/>
    <mergeCell ref="K24:K25"/>
    <mergeCell ref="L24:R24"/>
    <mergeCell ref="C25:E25"/>
    <mergeCell ref="F25:F26"/>
    <mergeCell ref="B29:B30"/>
    <mergeCell ref="C29:I29"/>
    <mergeCell ref="K29:K30"/>
    <mergeCell ref="L9:R9"/>
    <mergeCell ref="K9:K10"/>
    <mergeCell ref="J9:J23"/>
    <mergeCell ref="C9:I9"/>
    <mergeCell ref="B9:B10"/>
    <mergeCell ref="B19:B20"/>
    <mergeCell ref="C19:I19"/>
    <mergeCell ref="K19:K20"/>
    <mergeCell ref="L19:R19"/>
    <mergeCell ref="C20:E20"/>
    <mergeCell ref="F20:F21"/>
    <mergeCell ref="G20:I20"/>
    <mergeCell ref="B24:B25"/>
    <mergeCell ref="L20:N20"/>
    <mergeCell ref="O20:O21"/>
    <mergeCell ref="P20:R20"/>
    <mergeCell ref="B14:B15"/>
    <mergeCell ref="P25:R25"/>
    <mergeCell ref="C24:I24"/>
    <mergeCell ref="G25:I25"/>
    <mergeCell ref="L25:N25"/>
    <mergeCell ref="O25:O26"/>
    <mergeCell ref="C14:I14"/>
    <mergeCell ref="K14:K15"/>
    <mergeCell ref="L14:R14"/>
    <mergeCell ref="C15:E15"/>
    <mergeCell ref="F15:F16"/>
    <mergeCell ref="G15:I15"/>
    <mergeCell ref="L15:N15"/>
  </mergeCells>
  <pageMargins left="0.7" right="0.7" top="0.75" bottom="0.75" header="0.3" footer="0.3"/>
  <pageSetup paperSize="9" scale="82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0657-A670-45E7-B2AA-1D4340D370B1}">
  <sheetPr>
    <pageSetUpPr fitToPage="1"/>
  </sheetPr>
  <dimension ref="B2:M28"/>
  <sheetViews>
    <sheetView tabSelected="1" topLeftCell="A10" workbookViewId="0">
      <selection activeCell="B17" sqref="B17:M28"/>
    </sheetView>
  </sheetViews>
  <sheetFormatPr defaultColWidth="8.81640625" defaultRowHeight="14.5" x14ac:dyDescent="0.35"/>
  <sheetData>
    <row r="2" spans="2:13" x14ac:dyDescent="0.35">
      <c r="B2" s="55" t="s">
        <v>70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2:13" x14ac:dyDescent="0.35">
      <c r="B3" s="63" t="s">
        <v>71</v>
      </c>
      <c r="C3" s="64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2:13" x14ac:dyDescent="0.35">
      <c r="B4" s="65" t="s">
        <v>72</v>
      </c>
      <c r="C4" s="66"/>
      <c r="D4" s="83"/>
      <c r="E4" s="83"/>
      <c r="F4" s="83"/>
      <c r="G4" s="83"/>
      <c r="H4" s="83"/>
      <c r="I4" s="83"/>
      <c r="J4" s="83"/>
      <c r="K4" s="83"/>
      <c r="L4" s="83"/>
      <c r="M4" s="84"/>
    </row>
    <row r="5" spans="2:13" x14ac:dyDescent="0.35">
      <c r="B5" s="67" t="s">
        <v>73</v>
      </c>
      <c r="C5" s="68"/>
      <c r="D5" s="81"/>
      <c r="E5" s="81"/>
      <c r="F5" s="81"/>
      <c r="G5" s="81"/>
      <c r="H5" s="81"/>
      <c r="I5" s="81"/>
      <c r="J5" s="81"/>
      <c r="K5" s="81"/>
      <c r="L5" s="81"/>
      <c r="M5" s="82"/>
    </row>
    <row r="7" spans="2:13" x14ac:dyDescent="0.35">
      <c r="B7" s="69" t="s">
        <v>111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2:13" x14ac:dyDescent="0.35">
      <c r="B8" s="78"/>
      <c r="C8" s="79"/>
      <c r="D8" s="79"/>
      <c r="E8" s="79"/>
      <c r="F8" s="79"/>
      <c r="G8" s="79"/>
      <c r="H8" s="79"/>
      <c r="I8" s="79"/>
      <c r="J8" s="79"/>
      <c r="K8" s="79"/>
      <c r="L8" s="79"/>
      <c r="M8" s="80"/>
    </row>
    <row r="9" spans="2:13" x14ac:dyDescent="0.35">
      <c r="B9" s="62" t="s">
        <v>75</v>
      </c>
      <c r="C9" s="61"/>
      <c r="D9" s="58" t="s">
        <v>112</v>
      </c>
      <c r="E9" s="58"/>
      <c r="F9" s="58"/>
      <c r="G9" s="58"/>
      <c r="H9" s="58"/>
      <c r="I9" s="58"/>
      <c r="J9" s="58"/>
      <c r="K9" s="58"/>
      <c r="L9" s="58"/>
      <c r="M9" s="59"/>
    </row>
    <row r="10" spans="2:13" ht="15" thickBot="1" x14ac:dyDescent="0.4">
      <c r="B10" s="62"/>
      <c r="C10" s="61"/>
      <c r="D10" s="58" t="s">
        <v>113</v>
      </c>
      <c r="E10" s="58"/>
      <c r="F10" s="58"/>
      <c r="G10" s="58"/>
      <c r="H10" s="59"/>
      <c r="I10" s="60" t="s">
        <v>114</v>
      </c>
      <c r="J10" s="60"/>
      <c r="K10" s="60"/>
      <c r="L10" s="60"/>
      <c r="M10" s="61"/>
    </row>
    <row r="11" spans="2:13" x14ac:dyDescent="0.35">
      <c r="B11" s="63" t="s">
        <v>115</v>
      </c>
      <c r="C11" s="64"/>
      <c r="D11" s="85">
        <f>D12+D13</f>
        <v>1152</v>
      </c>
      <c r="E11" s="85"/>
      <c r="F11" s="85"/>
      <c r="G11" s="85"/>
      <c r="H11" s="85"/>
      <c r="I11" s="85">
        <f>I12+I13</f>
        <v>1152</v>
      </c>
      <c r="J11" s="85"/>
      <c r="K11" s="85"/>
      <c r="L11" s="85"/>
      <c r="M11" s="85"/>
    </row>
    <row r="12" spans="2:13" x14ac:dyDescent="0.35">
      <c r="B12" s="65" t="s">
        <v>116</v>
      </c>
      <c r="C12" s="66"/>
      <c r="D12" s="83">
        <f>192*3</f>
        <v>576</v>
      </c>
      <c r="E12" s="83"/>
      <c r="F12" s="83"/>
      <c r="G12" s="83"/>
      <c r="H12" s="83"/>
      <c r="I12" s="83">
        <f>192*3</f>
        <v>576</v>
      </c>
      <c r="J12" s="83"/>
      <c r="K12" s="83"/>
      <c r="L12" s="83"/>
      <c r="M12" s="83"/>
    </row>
    <row r="13" spans="2:13" x14ac:dyDescent="0.35">
      <c r="B13" s="65" t="s">
        <v>117</v>
      </c>
      <c r="C13" s="66"/>
      <c r="D13" s="83">
        <f>192*3</f>
        <v>576</v>
      </c>
      <c r="E13" s="83"/>
      <c r="F13" s="83"/>
      <c r="G13" s="83"/>
      <c r="H13" s="83"/>
      <c r="I13" s="83">
        <f>192*3</f>
        <v>576</v>
      </c>
      <c r="J13" s="83"/>
      <c r="K13" s="83"/>
      <c r="L13" s="83"/>
      <c r="M13" s="83"/>
    </row>
    <row r="14" spans="2:13" x14ac:dyDescent="0.35">
      <c r="B14" s="65" t="s">
        <v>118</v>
      </c>
      <c r="C14" s="66"/>
      <c r="D14" s="129">
        <f>D12/D11</f>
        <v>0.5</v>
      </c>
      <c r="E14" s="83"/>
      <c r="F14" s="83"/>
      <c r="G14" s="83"/>
      <c r="H14" s="83"/>
      <c r="I14" s="129">
        <f>I12/I11</f>
        <v>0.5</v>
      </c>
      <c r="J14" s="83"/>
      <c r="K14" s="83"/>
      <c r="L14" s="83"/>
      <c r="M14" s="83"/>
    </row>
    <row r="15" spans="2:13" x14ac:dyDescent="0.35">
      <c r="B15" s="65" t="s">
        <v>119</v>
      </c>
      <c r="C15" s="66"/>
      <c r="D15" s="129">
        <f>D13/D11</f>
        <v>0.5</v>
      </c>
      <c r="E15" s="83"/>
      <c r="F15" s="83"/>
      <c r="G15" s="83"/>
      <c r="H15" s="83"/>
      <c r="I15" s="129">
        <f>I13/I11</f>
        <v>0.5</v>
      </c>
      <c r="J15" s="83"/>
      <c r="K15" s="83"/>
      <c r="L15" s="83"/>
      <c r="M15" s="83"/>
    </row>
    <row r="16" spans="2:13" ht="15" thickBot="1" x14ac:dyDescent="0.4">
      <c r="B16" s="130" t="s">
        <v>120</v>
      </c>
      <c r="C16" s="131"/>
      <c r="D16" s="85">
        <f>192*2</f>
        <v>384</v>
      </c>
      <c r="E16" s="85"/>
      <c r="F16" s="85"/>
      <c r="G16" s="85"/>
      <c r="H16" s="85"/>
      <c r="I16" s="132">
        <f>192+192*1/3</f>
        <v>256</v>
      </c>
      <c r="J16" s="85"/>
      <c r="K16" s="85"/>
      <c r="L16" s="85"/>
      <c r="M16" s="102"/>
    </row>
    <row r="17" spans="2:13" x14ac:dyDescent="0.35">
      <c r="B17" s="120" t="s">
        <v>154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2"/>
    </row>
    <row r="18" spans="2:13" x14ac:dyDescent="0.35">
      <c r="B18" s="123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5"/>
    </row>
    <row r="19" spans="2:13" x14ac:dyDescent="0.35">
      <c r="B19" s="123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5"/>
    </row>
    <row r="20" spans="2:13" x14ac:dyDescent="0.35">
      <c r="B20" s="123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5"/>
    </row>
    <row r="21" spans="2:13" x14ac:dyDescent="0.35">
      <c r="B21" s="123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5"/>
    </row>
    <row r="22" spans="2:13" x14ac:dyDescent="0.35">
      <c r="B22" s="123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5"/>
    </row>
    <row r="23" spans="2:13" x14ac:dyDescent="0.35">
      <c r="B23" s="123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</row>
    <row r="24" spans="2:13" x14ac:dyDescent="0.35">
      <c r="B24" s="123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5"/>
    </row>
    <row r="25" spans="2:13" x14ac:dyDescent="0.35">
      <c r="B25" s="123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5"/>
    </row>
    <row r="26" spans="2:13" x14ac:dyDescent="0.35">
      <c r="B26" s="123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5"/>
    </row>
    <row r="27" spans="2:13" x14ac:dyDescent="0.35">
      <c r="B27" s="123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5"/>
    </row>
    <row r="28" spans="2:13" ht="15" thickBot="1" x14ac:dyDescent="0.4"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8"/>
    </row>
  </sheetData>
  <mergeCells count="31">
    <mergeCell ref="B13:C13"/>
    <mergeCell ref="D13:H13"/>
    <mergeCell ref="I13:M13"/>
    <mergeCell ref="B12:C12"/>
    <mergeCell ref="D12:H12"/>
    <mergeCell ref="I12:M12"/>
    <mergeCell ref="B14:C14"/>
    <mergeCell ref="D14:H14"/>
    <mergeCell ref="I14:M14"/>
    <mergeCell ref="B16:C16"/>
    <mergeCell ref="D16:H16"/>
    <mergeCell ref="I16:M16"/>
    <mergeCell ref="B15:C15"/>
    <mergeCell ref="D15:H15"/>
    <mergeCell ref="I15:M15"/>
    <mergeCell ref="B17:M28"/>
    <mergeCell ref="B11:C11"/>
    <mergeCell ref="D11:H11"/>
    <mergeCell ref="I11:M11"/>
    <mergeCell ref="B2:M2"/>
    <mergeCell ref="B3:C3"/>
    <mergeCell ref="D3:M3"/>
    <mergeCell ref="B4:C4"/>
    <mergeCell ref="D4:M4"/>
    <mergeCell ref="B5:C5"/>
    <mergeCell ref="D5:M5"/>
    <mergeCell ref="B7:M8"/>
    <mergeCell ref="B9:C10"/>
    <mergeCell ref="D9:M9"/>
    <mergeCell ref="D10:H10"/>
    <mergeCell ref="I10:M10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4</vt:i4>
      </vt:variant>
    </vt:vector>
  </HeadingPairs>
  <TitlesOfParts>
    <vt:vector size="9" baseType="lpstr">
      <vt:lpstr>Cache</vt:lpstr>
      <vt:lpstr>a.i.ii.iii</vt:lpstr>
      <vt:lpstr>b.i</vt:lpstr>
      <vt:lpstr>b.i bis</vt:lpstr>
      <vt:lpstr>b.ii.iii</vt:lpstr>
      <vt:lpstr>a.i.ii.iii!Area_stampa</vt:lpstr>
      <vt:lpstr>b.i!Area_stampa</vt:lpstr>
      <vt:lpstr>'b.i bis'!Area_stampa</vt:lpstr>
      <vt:lpstr>b.ii.iii!Area_stampa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Bartolini</dc:creator>
  <cp:keywords/>
  <dc:description/>
  <cp:lastModifiedBy>Leonardo Ciacco - leonardo.ciacco@studio.unibo.it</cp:lastModifiedBy>
  <cp:revision/>
  <cp:lastPrinted>2023-01-19T12:25:43Z</cp:lastPrinted>
  <dcterms:created xsi:type="dcterms:W3CDTF">2020-12-14T12:19:49Z</dcterms:created>
  <dcterms:modified xsi:type="dcterms:W3CDTF">2026-01-27T10:59:30Z</dcterms:modified>
  <cp:category/>
  <cp:contentStatus/>
</cp:coreProperties>
</file>